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d4179b714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100" sheetId="1" r:id="Rf24f6c739c8a4f8e"/>
    <x:sheet xmlns:r="http://schemas.openxmlformats.org/officeDocument/2006/relationships" name="Riepilogo" sheetId="2" r:id="Rf189cd8f9d754c18"/>
    <x:sheet xmlns:r="http://schemas.openxmlformats.org/officeDocument/2006/relationships" name="Fonti" sheetId="3" r:id="Rcd5a48f3b320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#,##0.00"/>
    <x:numFmt numFmtId="203" formatCode="yyyy-mm-dd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07ff4bdac40a2" /><Relationship Type="http://schemas.openxmlformats.org/officeDocument/2006/relationships/theme" Target="/xl/theme/theme1.xml" Id="R25e4a234481e4a87" /><Relationship Type="http://schemas.openxmlformats.org/officeDocument/2006/relationships/sharedStrings" Target="/xl/sharedStrings.xml" Id="R6f5b8bd6f3d7473e" /><Relationship Type="http://schemas.openxmlformats.org/officeDocument/2006/relationships/worksheet" Target="/xl/worksheets/sheet1.xml" Id="Rf24f6c739c8a4f8e" /><Relationship Type="http://schemas.openxmlformats.org/officeDocument/2006/relationships/worksheet" Target="/xl/worksheets/sheet2.xml" Id="Rf189cd8f9d754c18" /><Relationship Type="http://schemas.openxmlformats.org/officeDocument/2006/relationships/worksheet" Target="/xl/worksheets/sheet3.xml" Id="Rcd5a48f3b3204dad" /></Relationships>
</file>

<file path=xl/tables/table1.xml><?xml version="1.0" encoding="utf-8"?>
<x:table xmlns:x="http://schemas.openxmlformats.org/spreadsheetml/2006/main" id="1" name="NuoviAnnunci100" displayName="NuoviAnnunci100" ref="A1:AG101" headerRowCount="1" totalsRowCount="0" totalsRowShown="0">
  <x:tableColumns count="33">
    <x:tableColumn id="1" name="ID_globale"/>
    <x:tableColumn id="2" name="ID_portale"/>
    <x:tableColumn id="3" name="Portale"/>
    <x:tableColumn id="4" name="Contratto"/>
    <x:tableColumn id="5" name="Quartiere"/>
    <x:tableColumn id="6" name="Indirizzo"/>
    <x:tableColumn id="7" name="Tipo_immobile"/>
    <x:tableColumn id="8" name="Prezzo_EUR"/>
    <x:tableColumn id="9" name="Superficie_mq"/>
    <x:tableColumn id="10" name="Prezzo_vendita_EUR_mq"/>
    <x:tableColumn id="11" name="Canone_affitto_EUR_mq_mese"/>
    <x:tableColumn id="12" name="Locali"/>
    <x:tableColumn id="13" name="Bagni"/>
    <x:tableColumn id="14" name="Piano"/>
    <x:tableColumn id="15" name="Stato"/>
    <x:tableColumn id="16" name="Segmento"/>
    <x:tableColumn id="17" name="Ascensore"/>
    <x:tableColumn id="18" name="Balcone"/>
    <x:tableColumn id="19" name="Terrazzo"/>
    <x:tableColumn id="20" name="Arredato"/>
    <x:tableColumn id="21" name="Cantina"/>
    <x:tableColumn id="22" name="Box_posto_auto"/>
    <x:tableColumn id="23" name="Data_pubblicazione_esatta"/>
    <x:tableColumn id="24" name="Ultimo_aggiornamento"/>
    <x:tableColumn id="25" name="Data_annuncio_visibile_o_proxy"/>
    <x:tableColumn id="26" name="Tipo_data_annuncio"/>
    <x:tableColumn id="27" name="Recenza_portale"/>
    <x:tableColumn id="28" name="Data_rilevazione"/>
    <x:tableColumn id="29" name="Qualita_dato"/>
    <x:tableColumn id="30" name="Nota_data"/>
    <x:tableColumn id="31" name="Classe_energetica"/>
    <x:tableColumn id="32" name="Esito_verifica_energia"/>
    <x:tableColumn id="33" name="Data_verifica_energ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ntiNuovi100" displayName="FontiNuovi100" ref="A1:M101" headerRowCount="1" totalsRowCount="0" totalsRowShown="0">
  <x:tableColumns count="13">
    <x:tableColumn id="1" name="ID_globale"/>
    <x:tableColumn id="2" name="ID_portale"/>
    <x:tableColumn id="3" name="Portale"/>
    <x:tableColumn id="4" name="Quartiere"/>
    <x:tableColumn id="5" name="Indirizzo"/>
    <x:tableColumn id="6" name="URL_fonte"/>
    <x:tableColumn id="7" name="Tipo_fonte"/>
    <x:tableColumn id="8" name="Nota"/>
    <x:tableColumn id="9" name="Classe_energetica"/>
    <x:tableColumn id="10" name="URL_verifica_energia"/>
    <x:tableColumn id="11" name="Data_verifica_energia"/>
    <x:tableColumn id="12" name="Metodo_verifica"/>
    <x:tableColumn id="13" name="Consumo_dichiarato_kWh_mq_an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8f10b8385249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5d7dd020ba4b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  <x:col min="6" max="6" width="32" hidden="0" customWidth="1"/>
    <x:col min="7" max="7" width="32" hidden="0" customWidth="1"/>
    <x:col min="8" max="8" width="20" hidden="0" customWidth="1"/>
    <x:col min="9" max="9" width="20" hidden="0" customWidth="1"/>
    <x:col min="10" max="10" width="36" hidden="0" customWidth="1"/>
    <x:col min="11" max="11" width="36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6" hidden="0" customWidth="1"/>
    <x:col min="30" max="30" width="70" hidden="0" customWidth="1"/>
    <x:col min="31" max="31" width="24" hidden="0" customWidth="1"/>
    <x:col min="32" max="32" width="54" hidden="0" customWidth="1"/>
    <x:col min="33" max="33" width="27" hidden="0" customWidth="1"/>
  </x:cols>
  <x:sheetData>
    <x:row r="1" ht="58" customHeight="1">
      <x:c r="A1" s="5" t="str">
        <x:v>ID_globale</x:v>
      </x:c>
      <x:c r="B1" s="5" t="str">
        <x:v>ID_portale</x:v>
      </x:c>
      <x:c r="C1" s="5" t="str">
        <x:v>Portale</x:v>
      </x:c>
      <x:c r="D1" s="5" t="str">
        <x:v>Contratto</x:v>
      </x:c>
      <x:c r="E1" s="5" t="str">
        <x:v>Quartiere</x:v>
      </x:c>
      <x:c r="F1" s="5" t="str">
        <x:v>Indirizzo</x:v>
      </x:c>
      <x:c r="G1" s="5" t="str">
        <x:v>Tipo_immobile</x:v>
      </x:c>
      <x:c r="H1" s="5" t="str">
        <x:v>Prezzo_EUR</x:v>
      </x:c>
      <x:c r="I1" s="5" t="str">
        <x:v>Superficie_mq</x:v>
      </x:c>
      <x:c r="J1" s="5" t="str">
        <x:v>Prezzo_vendita_EUR_mq</x:v>
      </x:c>
      <x:c r="K1" s="5" t="str">
        <x:v>Canone_affitto_EUR_mq_mese</x:v>
      </x:c>
      <x:c r="L1" s="5" t="str">
        <x:v>Locali</x:v>
      </x:c>
      <x:c r="M1" s="5" t="str">
        <x:v>Bagni</x:v>
      </x:c>
      <x:c r="N1" s="5" t="str">
        <x:v>Piano</x:v>
      </x:c>
      <x:c r="O1" s="5" t="str">
        <x:v>Stato</x:v>
      </x:c>
      <x:c r="P1" s="5" t="str">
        <x:v>Segmento</x:v>
      </x:c>
      <x:c r="Q1" s="5" t="str">
        <x:v>Ascensore</x:v>
      </x:c>
      <x:c r="R1" s="5" t="str">
        <x:v>Balcone</x:v>
      </x:c>
      <x:c r="S1" s="5" t="str">
        <x:v>Terrazzo</x:v>
      </x:c>
      <x:c r="T1" s="5" t="str">
        <x:v>Arredato</x:v>
      </x:c>
      <x:c r="U1" s="5" t="str">
        <x:v>Cantina</x:v>
      </x:c>
      <x:c r="V1" s="5" t="str">
        <x:v>Box_posto_auto</x:v>
      </x:c>
      <x:c r="W1" s="5" t="str">
        <x:v>Data_pubblicazione_esatta</x:v>
      </x:c>
      <x:c r="X1" s="5" t="str">
        <x:v>Ultimo_aggiornamento</x:v>
      </x:c>
      <x:c r="Y1" s="5" t="str">
        <x:v>Data_annuncio_visibile_o_proxy</x:v>
      </x:c>
      <x:c r="Z1" s="5" t="str">
        <x:v>Tipo_data_annuncio</x:v>
      </x:c>
      <x:c r="AA1" s="5" t="str">
        <x:v>Recenza_portale</x:v>
      </x:c>
      <x:c r="AB1" s="5" t="str">
        <x:v>Data_rilevazione</x:v>
      </x:c>
      <x:c r="AC1" s="5" t="str">
        <x:v>Qualita_dato</x:v>
      </x:c>
      <x:c r="AD1" s="5" t="str">
        <x:v>Nota_data</x:v>
      </x:c>
      <x:c r="AE1" s="5" t="str">
        <x:v>Classe_energetica</x:v>
      </x:c>
      <x:c r="AF1" s="5" t="str">
        <x:v>Esito_verifica_energia</x:v>
      </x:c>
      <x:c r="AG1" s="5" t="str">
        <x:v>Data_verifica_energia</x:v>
      </x:c>
    </x:row>
    <x:row r="2" ht="48" customHeight="1">
      <x:c r="A2" s="3" t="n">
        <x:v>201</x:v>
      </x:c>
      <x:c r="B2" s="3" t="n">
        <x:v>128141494</x:v>
      </x:c>
      <x:c r="C2" s="3" t="str">
        <x:v>Immobiliare.it</x:v>
      </x:c>
      <x:c r="D2" s="3" t="str">
        <x:v>Vendita</x:v>
      </x:c>
      <x:c r="E2" s="3" t="str">
        <x:v>Brera</x:v>
      </x:c>
      <x:c r="F2" s="3" t="str">
        <x:v>via Fiori Oscuri 13</x:v>
      </x:c>
      <x:c r="G2" s="3" t="str">
        <x:v>Quadrilocale</x:v>
      </x:c>
      <x:c r="H2" s="6" t="n">
        <x:v>5500000</x:v>
      </x:c>
      <x:c r="I2" s="7" t="n">
        <x:v>258</x:v>
      </x:c>
      <x:c r="J2" s="8" t="n">
        <x:f>IF(D2="Vendita",H2/I2,"")</x:f>
        <x:v>21317.82945736434</x:v>
      </x:c>
      <x:c r="K2" s="8" t="str">
        <x:f>IF(D2="Affitto",H2/I2,"")</x:f>
      </x:c>
      <x:c r="L2" s="3" t="n">
        <x:v>4</x:v>
      </x:c>
      <x:c r="M2" s="3" t="n">
        <x:v>3</x:v>
      </x:c>
      <x:c r="N2" s="3" t="str">
        <x:v>Piano terra, 1</x:v>
      </x:c>
      <x:c r="O2" s="3" t="str">
        <x:v>Ottimo stato</x:v>
      </x:c>
      <x:c r="P2" s="3" t="str">
        <x:v>Lusso</x:v>
      </x:c>
      <x:c r="Q2" s="3" t="str">
        <x:v>No</x:v>
      </x:c>
      <x:c r="R2" s="3" t="str">
        <x:v>Sì</x:v>
      </x:c>
      <x:c r="S2" s="3" t="str">
        <x:v>No</x:v>
      </x:c>
      <x:c r="T2" s="3" t="str">
        <x:v>Sì</x:v>
      </x:c>
      <x:c r="U2" s="3" t="str">
        <x:v>Sì</x:v>
      </x:c>
      <x:c r="V2" s="3" t="str">
        <x:v>2 posto auto</x:v>
      </x:c>
      <x:c r="W2" s="3" t="str">
        <x:v>N/D</x:v>
      </x:c>
      <x:c r="X2" s="9" t="n">
        <x:v>46169</x:v>
      </x:c>
      <x:c r="Y2" s="3" t="str">
        <x:v>N/D</x:v>
      </x:c>
      <x:c r="Z2" s="3" t="str">
        <x:v>Ultimo aggiornamento esposto</x:v>
      </x:c>
      <x:c r="AA2" s="3" t="str">
        <x:v>N/D</x:v>
      </x:c>
      <x:c r="AB2" s="9" t="n">
        <x:v>46270</x:v>
      </x:c>
      <x:c r="AC2" s="3" t="str">
        <x:v>Dettaglio annuncio</x:v>
      </x:c>
      <x:c r="AD2" s="3" t="str">
        <x:v>Prima pubblicazione non esposta. Prezzo richiesto; aggiornamento distinto dalla rilevazione.</x:v>
      </x:c>
      <x:c r="AE2" s="3" t="str">
        <x:v>F</x:v>
      </x:c>
      <x:c r="AF2" s="3" t="str">
        <x:v>Classe dichiarata</x:v>
      </x:c>
      <x:c r="AG2" s="9" t="n">
        <x:v>46270</x:v>
      </x:c>
    </x:row>
    <x:row r="3" ht="48" customHeight="1">
      <x:c r="A3" s="3" t="n">
        <x:v>202</x:v>
      </x:c>
      <x:c r="B3" s="3" t="n">
        <x:v>118144815</x:v>
      </x:c>
      <x:c r="C3" s="3" t="str">
        <x:v>Immobiliare.it</x:v>
      </x:c>
      <x:c r="D3" s="3" t="str">
        <x:v>Vendita</x:v>
      </x:c>
      <x:c r="E3" s="3" t="str">
        <x:v>Brera</x:v>
      </x:c>
      <x:c r="F3" s="3" t="str">
        <x:v>via San Carpoforo 9</x:v>
      </x:c>
      <x:c r="G3" s="3" t="str">
        <x:v>Bilocale</x:v>
      </x:c>
      <x:c r="H3" s="6" t="n">
        <x:v>799000</x:v>
      </x:c>
      <x:c r="I3" s="7" t="n">
        <x:v>70</x:v>
      </x:c>
      <x:c r="J3" s="8" t="n">
        <x:f>IF(D3="Vendita",H3/I3,"")</x:f>
        <x:v>11414.285714285714</x:v>
      </x:c>
      <x:c r="K3" s="8" t="str">
        <x:f>IF(D3="Affitto",H3/I3,"")</x:f>
      </x:c>
      <x:c r="L3" s="3" t="n">
        <x:v>2</x:v>
      </x:c>
      <x:c r="M3" s="3" t="n">
        <x:v>1</x:v>
      </x:c>
      <x:c r="N3" s="3" t="str">
        <x:v>2</x:v>
      </x:c>
      <x:c r="O3" s="3" t="str">
        <x:v>Ottimo stato</x:v>
      </x:c>
      <x:c r="P3" s="3" t="str">
        <x:v>Lusso</x:v>
      </x:c>
      <x:c r="Q3" s="3" t="str">
        <x:v>No</x:v>
      </x:c>
      <x:c r="R3" s="3" t="str">
        <x:v>Sì</x:v>
      </x:c>
      <x:c r="S3" s="3" t="str">
        <x:v>No</x:v>
      </x:c>
      <x:c r="T3" s="3" t="str">
        <x:v>Sì</x:v>
      </x:c>
      <x:c r="U3" s="3" t="str">
        <x:v>Sì</x:v>
      </x:c>
      <x:c r="V3" s="3" t="str">
        <x:v>N/D</x:v>
      </x:c>
      <x:c r="W3" s="3" t="str">
        <x:v>N/D</x:v>
      </x:c>
      <x:c r="X3" s="9" t="n">
        <x:v>46223</x:v>
      </x:c>
      <x:c r="Y3" s="3" t="str">
        <x:v>N/D</x:v>
      </x:c>
      <x:c r="Z3" s="3" t="str">
        <x:v>Ultimo aggiornamento esposto</x:v>
      </x:c>
      <x:c r="AA3" s="3" t="str">
        <x:v>N/D</x:v>
      </x:c>
      <x:c r="AB3" s="9" t="n">
        <x:v>46270</x:v>
      </x:c>
      <x:c r="AC3" s="3" t="str">
        <x:v>Dettaglio annuncio</x:v>
      </x:c>
      <x:c r="AD3" s="3" t="str">
        <x:v>Prima pubblicazione non esposta. Prezzo richiesto; aggiornamento distinto dalla rilevazione.</x:v>
      </x:c>
      <x:c r="AE3" s="3" t="str">
        <x:v>E</x:v>
      </x:c>
      <x:c r="AF3" s="3" t="str">
        <x:v>Classe dichiarata</x:v>
      </x:c>
      <x:c r="AG3" s="9" t="n">
        <x:v>46270</x:v>
      </x:c>
    </x:row>
    <x:row r="4" ht="48" customHeight="1">
      <x:c r="A4" s="3" t="n">
        <x:v>203</x:v>
      </x:c>
      <x:c r="B4" s="3" t="n">
        <x:v>126590103</x:v>
      </x:c>
      <x:c r="C4" s="3" t="str">
        <x:v>Immobiliare.it</x:v>
      </x:c>
      <x:c r="D4" s="3" t="str">
        <x:v>Vendita</x:v>
      </x:c>
      <x:c r="E4" s="3" t="str">
        <x:v>Scala - Manzoni</x:v>
      </x:c>
      <x:c r="F4" s="3" t="str">
        <x:v>via Montenapoleone</x:v>
      </x:c>
      <x:c r="G4" s="3" t="str">
        <x:v>Appartamento</x:v>
      </x:c>
      <x:c r="H4" s="6" t="n">
        <x:v>8000000</x:v>
      </x:c>
      <x:c r="I4" s="7" t="n">
        <x:v>240</x:v>
      </x:c>
      <x:c r="J4" s="8" t="n">
        <x:f>IF(D4="Vendita",H4/I4,"")</x:f>
        <x:v>33333.333333333336</x:v>
      </x:c>
      <x:c r="K4" s="8" t="str">
        <x:f>IF(D4="Affitto",H4/I4,"")</x:f>
      </x:c>
      <x:c r="L4" s="3" t="str">
        <x:v>5+</x:v>
      </x:c>
      <x:c r="M4" s="3" t="str">
        <x:v>3+</x:v>
      </x:c>
      <x:c r="N4" s="3" t="str">
        <x:v>6</x:v>
      </x:c>
      <x:c r="O4" s="3" t="str">
        <x:v>Ottimo stato</x:v>
      </x:c>
      <x:c r="P4" s="3" t="str">
        <x:v>Lusso</x:v>
      </x:c>
      <x:c r="Q4" s="3" t="str">
        <x:v>Sì</x:v>
      </x:c>
      <x:c r="R4" s="3" t="str">
        <x:v>Sì</x:v>
      </x:c>
      <x:c r="S4" s="3" t="str">
        <x:v>Sì</x:v>
      </x:c>
      <x:c r="T4" s="3" t="str">
        <x:v>Sì</x:v>
      </x:c>
      <x:c r="U4" s="3" t="str">
        <x:v>Sì</x:v>
      </x:c>
      <x:c r="V4" s="3" t="str">
        <x:v>2 in box privato/box in garage, 1 posto auto</x:v>
      </x:c>
      <x:c r="W4" s="3" t="str">
        <x:v>N/D</x:v>
      </x:c>
      <x:c r="X4" s="9" t="n">
        <x:v>46223</x:v>
      </x:c>
      <x:c r="Y4" s="3" t="str">
        <x:v>N/D</x:v>
      </x:c>
      <x:c r="Z4" s="3" t="str">
        <x:v>Ultimo aggiornamento esposto</x:v>
      </x:c>
      <x:c r="AA4" s="3" t="str">
        <x:v>N/D</x:v>
      </x:c>
      <x:c r="AB4" s="9" t="n">
        <x:v>46270</x:v>
      </x:c>
      <x:c r="AC4" s="3" t="str">
        <x:v>Dettaglio annuncio</x:v>
      </x:c>
      <x:c r="AD4" s="3" t="str">
        <x:v>Prima pubblicazione non esposta. Prezzo richiesto; aggiornamento distinto dalla rilevazione.</x:v>
      </x:c>
      <x:c r="AE4" s="3" t="str">
        <x:v>A</x:v>
      </x:c>
      <x:c r="AF4" s="3" t="str">
        <x:v>Classe dichiarata</x:v>
      </x:c>
      <x:c r="AG4" s="9" t="n">
        <x:v>46270</x:v>
      </x:c>
    </x:row>
    <x:row r="5" ht="48" customHeight="1">
      <x:c r="A5" s="3" t="n">
        <x:v>204</x:v>
      </x:c>
      <x:c r="B5" s="3" t="n">
        <x:v>35755623</x:v>
      </x:c>
      <x:c r="C5" s="3" t="str">
        <x:v>Idealista</x:v>
      </x:c>
      <x:c r="D5" s="3" t="str">
        <x:v>Vendita</x:v>
      </x:c>
      <x:c r="E5" s="3" t="str">
        <x:v>Isola</x:v>
      </x:c>
      <x:c r="F5" s="3" t="str">
        <x:v>Piazza Fidia s.n.c</x:v>
      </x:c>
      <x:c r="G5" s="3" t="str">
        <x:v>Villa</x:v>
      </x:c>
      <x:c r="H5" s="6" t="n">
        <x:v>2680000</x:v>
      </x:c>
      <x:c r="I5" s="7" t="n">
        <x:v>240</x:v>
      </x:c>
      <x:c r="J5" s="8" t="n">
        <x:f>IF(D5="Vendita",H5/I5,"")</x:f>
        <x:v>11166.666666666666</x:v>
      </x:c>
      <x:c r="K5" s="8" t="str">
        <x:f>IF(D5="Affitto",H5/I5,"")</x:f>
      </x:c>
      <x:c r="L5" s="3" t="n">
        <x:v>4</x:v>
      </x:c>
      <x:c r="M5" s="3" t="n">
        <x:v>3</x:v>
      </x:c>
      <x:c r="N5" s="3" t="str">
        <x:v>N/D</x:v>
      </x:c>
      <x:c r="O5" s="3" t="str">
        <x:v>Nuova costruzione</x:v>
      </x:c>
      <x:c r="P5" s="3" t="str">
        <x:v>N/D</x:v>
      </x:c>
      <x:c r="Q5" s="3" t="str">
        <x:v>N/D</x:v>
      </x:c>
      <x:c r="R5" s="3" t="str">
        <x:v>N/D</x:v>
      </x:c>
      <x:c r="S5" s="3" t="str">
        <x:v>Sì</x:v>
      </x:c>
      <x:c r="T5" s="3" t="str">
        <x:v>N/D</x:v>
      </x:c>
      <x:c r="U5" s="3" t="str">
        <x:v>Sì</x:v>
      </x:c>
      <x:c r="V5" s="3" t="str">
        <x:v>N/D</x:v>
      </x:c>
      <x:c r="W5" s="3" t="str">
        <x:v>N/D</x:v>
      </x:c>
      <x:c r="X5" s="9" t="str">
        <x:v>N/D</x:v>
      </x:c>
      <x:c r="Y5" s="3" t="str">
        <x:v>27 maggio</x:v>
      </x:c>
      <x:c r="Z5" s="3" t="str">
        <x:v>Aggiornamento senza anno esplicito</x:v>
      </x:c>
      <x:c r="AA5" s="3" t="str">
        <x:v>N/D</x:v>
      </x:c>
      <x:c r="AB5" s="9" t="n">
        <x:v>46270</x:v>
      </x:c>
      <x:c r="AC5" s="3" t="str">
        <x:v>Dettaglio annuncio</x:v>
      </x:c>
      <x:c r="AD5" s="3" t="str">
        <x:v>Prima pubblicazione non esposta. Prezzo richiesto; aggiornamento distinto dalla rilevazione.</x:v>
      </x:c>
      <x:c r="AE5" s="3" t="str">
        <x:v>N/D</x:v>
      </x:c>
      <x:c r="AF5" s="3" t="str">
        <x:v>Classe non dichiarata nel testo consultato</x:v>
      </x:c>
      <x:c r="AG5" s="9" t="n">
        <x:v>46270</x:v>
      </x:c>
    </x:row>
    <x:row r="6" ht="48" customHeight="1">
      <x:c r="A6" s="3" t="n">
        <x:v>205</x:v>
      </x:c>
      <x:c r="B6" s="3" t="n">
        <x:v>31845738</x:v>
      </x:c>
      <x:c r="C6" s="3" t="str">
        <x:v>Idealista</x:v>
      </x:c>
      <x:c r="D6" s="3" t="str">
        <x:v>Vendita</x:v>
      </x:c>
      <x:c r="E6" s="3" t="str">
        <x:v>Isola</x:v>
      </x:c>
      <x:c r="F6" s="3" t="str">
        <x:v>Via Giulio Belinzaghi, 14</x:v>
      </x:c>
      <x:c r="G6" s="3" t="str">
        <x:v>Trilocale</x:v>
      </x:c>
      <x:c r="H6" s="6" t="n">
        <x:v>660000</x:v>
      </x:c>
      <x:c r="I6" s="7" t="n">
        <x:v>105</x:v>
      </x:c>
      <x:c r="J6" s="8" t="n">
        <x:f>IF(D6="Vendita",H6/I6,"")</x:f>
        <x:v>6285.714285714285</x:v>
      </x:c>
      <x:c r="K6" s="8" t="str">
        <x:f>IF(D6="Affitto",H6/I6,"")</x:f>
      </x:c>
      <x:c r="L6" s="3" t="n">
        <x:v>3</x:v>
      </x:c>
      <x:c r="M6" s="3" t="n">
        <x:v>2</x:v>
      </x:c>
      <x:c r="N6" s="3" t="str">
        <x:v>2º piano</x:v>
      </x:c>
      <x:c r="O6" s="3" t="str">
        <x:v>Buono stato</x:v>
      </x:c>
      <x:c r="P6" s="3" t="str">
        <x:v>N/D</x:v>
      </x:c>
      <x:c r="Q6" s="3" t="str">
        <x:v>Sì</x:v>
      </x:c>
      <x:c r="R6" s="3" t="str">
        <x:v>N/D</x:v>
      </x:c>
      <x:c r="S6" s="3" t="str">
        <x:v>Sì</x:v>
      </x:c>
      <x:c r="T6" s="3" t="str">
        <x:v>N/D</x:v>
      </x:c>
      <x:c r="U6" s="3" t="str">
        <x:v>N/D</x:v>
      </x:c>
      <x:c r="V6" s="3" t="str">
        <x:v>N/D</x:v>
      </x:c>
      <x:c r="W6" s="3" t="str">
        <x:v>N/D</x:v>
      </x:c>
      <x:c r="X6" s="9" t="str">
        <x:v>N/D</x:v>
      </x:c>
      <x:c r="Y6" s="3" t="str">
        <x:v>29 aprile</x:v>
      </x:c>
      <x:c r="Z6" s="3" t="str">
        <x:v>Aggiornamento senza anno esplicito</x:v>
      </x:c>
      <x:c r="AA6" s="3" t="str">
        <x:v>N/D</x:v>
      </x:c>
      <x:c r="AB6" s="9" t="n">
        <x:v>46270</x:v>
      </x:c>
      <x:c r="AC6" s="3" t="str">
        <x:v>Dettaglio annuncio</x:v>
      </x:c>
      <x:c r="AD6" s="3" t="str">
        <x:v>Prima pubblicazione non esposta. Prezzo richiesto; aggiornamento distinto dalla rilevazione.</x:v>
      </x:c>
      <x:c r="AE6" s="3" t="str">
        <x:v>A</x:v>
      </x:c>
      <x:c r="AF6" s="3" t="str">
        <x:v>Classe dichiarata</x:v>
      </x:c>
      <x:c r="AG6" s="9" t="n">
        <x:v>46270</x:v>
      </x:c>
    </x:row>
    <x:row r="7" ht="48" customHeight="1">
      <x:c r="A7" s="3" t="n">
        <x:v>206</x:v>
      </x:c>
      <x:c r="B7" s="3" t="n">
        <x:v>35732635</x:v>
      </x:c>
      <x:c r="C7" s="3" t="str">
        <x:v>Idealista</x:v>
      </x:c>
      <x:c r="D7" s="3" t="str">
        <x:v>Vendita</x:v>
      </x:c>
      <x:c r="E7" s="3" t="str">
        <x:v>Isola</x:v>
      </x:c>
      <x:c r="F7" s="3" t="str">
        <x:v>Via Luigi Federico Menabrea, 7</x:v>
      </x:c>
      <x:c r="G7" s="3" t="str">
        <x:v>Trilocale</x:v>
      </x:c>
      <x:c r="H7" s="6" t="n">
        <x:v>790000</x:v>
      </x:c>
      <x:c r="I7" s="7" t="n">
        <x:v>108</x:v>
      </x:c>
      <x:c r="J7" s="8" t="n">
        <x:f>IF(D7="Vendita",H7/I7,"")</x:f>
        <x:v>7314.814814814815</x:v>
      </x:c>
      <x:c r="K7" s="8" t="str">
        <x:f>IF(D7="Affitto",H7/I7,"")</x:f>
      </x:c>
      <x:c r="L7" s="3" t="n">
        <x:v>3</x:v>
      </x:c>
      <x:c r="M7" s="3" t="n">
        <x:v>2</x:v>
      </x:c>
      <x:c r="N7" s="3" t="str">
        <x:v>2º piano</x:v>
      </x:c>
      <x:c r="O7" s="3" t="str">
        <x:v>Buono stato</x:v>
      </x:c>
      <x:c r="P7" s="3" t="str">
        <x:v>N/D</x:v>
      </x:c>
      <x:c r="Q7" s="3" t="str">
        <x:v>Sì</x:v>
      </x:c>
      <x:c r="R7" s="3" t="str">
        <x:v>N/D</x:v>
      </x:c>
      <x:c r="S7" s="3" t="str">
        <x:v>Sì</x:v>
      </x:c>
      <x:c r="T7" s="3" t="str">
        <x:v>N/D</x:v>
      </x:c>
      <x:c r="U7" s="3" t="str">
        <x:v>Sì</x:v>
      </x:c>
      <x:c r="V7" s="3" t="str">
        <x:v>Sì</x:v>
      </x:c>
      <x:c r="W7" s="3" t="str">
        <x:v>N/D</x:v>
      </x:c>
      <x:c r="X7" s="9" t="str">
        <x:v>N/D</x:v>
      </x:c>
      <x:c r="Y7" s="3" t="str">
        <x:v>27 luglio</x:v>
      </x:c>
      <x:c r="Z7" s="3" t="str">
        <x:v>Aggiornamento senza anno esplicito</x:v>
      </x:c>
      <x:c r="AA7" s="3" t="str">
        <x:v>N/D</x:v>
      </x:c>
      <x:c r="AB7" s="9" t="n">
        <x:v>46270</x:v>
      </x:c>
      <x:c r="AC7" s="3" t="str">
        <x:v>Dettaglio annuncio</x:v>
      </x:c>
      <x:c r="AD7" s="3" t="str">
        <x:v>Prima pubblicazione non esposta. Prezzo richiesto; aggiornamento distinto dalla rilevazione.</x:v>
      </x:c>
      <x:c r="AE7" s="3" t="str">
        <x:v>A2</x:v>
      </x:c>
      <x:c r="AF7" s="3" t="str">
        <x:v>Classe dichiarata</x:v>
      </x:c>
      <x:c r="AG7" s="9" t="n">
        <x:v>46270</x:v>
      </x:c>
    </x:row>
    <x:row r="8" ht="48" customHeight="1">
      <x:c r="A8" s="3" t="n">
        <x:v>207</x:v>
      </x:c>
      <x:c r="B8" s="3" t="n">
        <x:v>36349620</x:v>
      </x:c>
      <x:c r="C8" s="3" t="str">
        <x:v>Idealista</x:v>
      </x:c>
      <x:c r="D8" s="3" t="str">
        <x:v>Vendita</x:v>
      </x:c>
      <x:c r="E8" s="3" t="str">
        <x:v>Isola</x:v>
      </x:c>
      <x:c r="F8" s="3" t="str">
        <x:v>Via Sebenico, 28</x:v>
      </x:c>
      <x:c r="G8" s="3" t="str">
        <x:v>Appartamento su due piani</x:v>
      </x:c>
      <x:c r="H8" s="6" t="n">
        <x:v>390000</x:v>
      </x:c>
      <x:c r="I8" s="7" t="n">
        <x:v>56</x:v>
      </x:c>
      <x:c r="J8" s="8" t="n">
        <x:f>IF(D8="Vendita",H8/I8,"")</x:f>
        <x:v>6964.285714285715</x:v>
      </x:c>
      <x:c r="K8" s="8" t="str">
        <x:f>IF(D8="Affitto",H8/I8,"")</x:f>
      </x:c>
      <x:c r="L8" s="3" t="n">
        <x:v>2</x:v>
      </x:c>
      <x:c r="M8" s="3" t="n">
        <x:v>1</x:v>
      </x:c>
      <x:c r="N8" s="3" t="str">
        <x:v>4º piano</x:v>
      </x:c>
      <x:c r="O8" s="3" t="str">
        <x:v>Buono stato</x:v>
      </x:c>
      <x:c r="P8" s="3" t="str">
        <x:v>N/D</x:v>
      </x:c>
      <x:c r="Q8" s="3" t="str">
        <x:v>Sì</x:v>
      </x:c>
      <x:c r="R8" s="3" t="str">
        <x:v>N/D</x:v>
      </x:c>
      <x:c r="S8" s="3" t="str">
        <x:v>N/D</x:v>
      </x:c>
      <x:c r="T8" s="3" t="str">
        <x:v>N/D</x:v>
      </x:c>
      <x:c r="U8" s="3" t="str">
        <x:v>N/D</x:v>
      </x:c>
      <x:c r="V8" s="3" t="str">
        <x:v>N/D</x:v>
      </x:c>
      <x:c r="W8" s="3" t="str">
        <x:v>N/D</x:v>
      </x:c>
      <x:c r="X8" s="9" t="str">
        <x:v>N/D</x:v>
      </x:c>
      <x:c r="Y8" s="3" t="str">
        <x:v>26 agosto</x:v>
      </x:c>
      <x:c r="Z8" s="3" t="str">
        <x:v>Aggiornamento senza anno esplicito</x:v>
      </x:c>
      <x:c r="AA8" s="3" t="str">
        <x:v>N/D</x:v>
      </x:c>
      <x:c r="AB8" s="9" t="n">
        <x:v>46270</x:v>
      </x:c>
      <x:c r="AC8" s="3" t="str">
        <x:v>Dettaglio annuncio</x:v>
      </x:c>
      <x:c r="AD8" s="3" t="str">
        <x:v>Prima pubblicazione non esposta. Prezzo richiesto; aggiornamento distinto dalla rilevazione.</x:v>
      </x:c>
      <x:c r="AE8" s="3" t="str">
        <x:v>N/D</x:v>
      </x:c>
      <x:c r="AF8" s="3" t="str">
        <x:v>In attesa di certificazione</x:v>
      </x:c>
      <x:c r="AG8" s="9" t="n">
        <x:v>46270</x:v>
      </x:c>
    </x:row>
    <x:row r="9" ht="48" customHeight="1">
      <x:c r="A9" s="3" t="n">
        <x:v>208</x:v>
      </x:c>
      <x:c r="B9" s="3" t="n">
        <x:v>35884100</x:v>
      </x:c>
      <x:c r="C9" s="3" t="str">
        <x:v>Idealista</x:v>
      </x:c>
      <x:c r="D9" s="3" t="str">
        <x:v>Vendita</x:v>
      </x:c>
      <x:c r="E9" s="3" t="str">
        <x:v>Isola</x:v>
      </x:c>
      <x:c r="F9" s="3" t="str">
        <x:v>Viale Stelvio, 16</x:v>
      </x:c>
      <x:c r="G9" s="3" t="str">
        <x:v>Quadrilocale</x:v>
      </x:c>
      <x:c r="H9" s="6" t="n">
        <x:v>560000</x:v>
      </x:c>
      <x:c r="I9" s="7" t="n">
        <x:v>115</x:v>
      </x:c>
      <x:c r="J9" s="8" t="n">
        <x:f>IF(D9="Vendita",H9/I9,"")</x:f>
        <x:v>4869.565217391304</x:v>
      </x:c>
      <x:c r="K9" s="8" t="str">
        <x:f>IF(D9="Affitto",H9/I9,"")</x:f>
      </x:c>
      <x:c r="L9" s="3" t="n">
        <x:v>4</x:v>
      </x:c>
      <x:c r="M9" s="3" t="n">
        <x:v>1</x:v>
      </x:c>
      <x:c r="N9" s="3" t="str">
        <x:v>2º piano</x:v>
      </x:c>
      <x:c r="O9" s="3" t="str">
        <x:v>Buono stato</x:v>
      </x:c>
      <x:c r="P9" s="3" t="str">
        <x:v>N/D</x:v>
      </x:c>
      <x:c r="Q9" s="3" t="str">
        <x:v>Sì</x:v>
      </x:c>
      <x:c r="R9" s="3" t="str">
        <x:v>Sì</x:v>
      </x:c>
      <x:c r="S9" s="3" t="str">
        <x:v>N/D</x:v>
      </x:c>
      <x:c r="T9" s="3" t="str">
        <x:v>N/D</x:v>
      </x:c>
      <x:c r="U9" s="3" t="str">
        <x:v>Sì</x:v>
      </x:c>
      <x:c r="V9" s="3" t="str">
        <x:v>N/D</x:v>
      </x:c>
      <x:c r="W9" s="3" t="str">
        <x:v>N/D</x:v>
      </x:c>
      <x:c r="X9" s="9" t="str">
        <x:v>N/D</x:v>
      </x:c>
      <x:c r="Y9" s="3" t="str">
        <x:v>3 giugno</x:v>
      </x:c>
      <x:c r="Z9" s="3" t="str">
        <x:v>Aggiornamento senza anno esplicito</x:v>
      </x:c>
      <x:c r="AA9" s="3" t="str">
        <x:v>N/D</x:v>
      </x:c>
      <x:c r="AB9" s="9" t="n">
        <x:v>46270</x:v>
      </x:c>
      <x:c r="AC9" s="3" t="str">
        <x:v>Dettaglio annuncio</x:v>
      </x:c>
      <x:c r="AD9" s="3" t="str">
        <x:v>Prima pubblicazione non esposta. Prezzo richiesto; aggiornamento distinto dalla rilevazione.</x:v>
      </x:c>
      <x:c r="AE9" s="3" t="str">
        <x:v>N/D</x:v>
      </x:c>
      <x:c r="AF9" s="3" t="str">
        <x:v>Classe non leggibile nel testo disponibile</x:v>
      </x:c>
      <x:c r="AG9" s="9" t="n">
        <x:v>46270</x:v>
      </x:c>
    </x:row>
    <x:row r="10" ht="48" customHeight="1">
      <x:c r="A10" s="3" t="n">
        <x:v>209</x:v>
      </x:c>
      <x:c r="B10" s="3" t="n">
        <x:v>130911160</x:v>
      </x:c>
      <x:c r="C10" s="3" t="str">
        <x:v>Immobiliare.it</x:v>
      </x:c>
      <x:c r="D10" s="3" t="str">
        <x:v>Vendita</x:v>
      </x:c>
      <x:c r="E10" s="3" t="str">
        <x:v>Isola</x:v>
      </x:c>
      <x:c r="F10" s="3" t="str">
        <x:v>piazzale Lagosta 6</x:v>
      </x:c>
      <x:c r="G10" s="3" t="str">
        <x:v>Bilocale</x:v>
      </x:c>
      <x:c r="H10" s="6" t="n">
        <x:v>399000</x:v>
      </x:c>
      <x:c r="I10" s="7" t="n">
        <x:v>42</x:v>
      </x:c>
      <x:c r="J10" s="8" t="n">
        <x:f>IF(D10="Vendita",H10/I10,"")</x:f>
        <x:v>9500</x:v>
      </x:c>
      <x:c r="K10" s="8" t="str">
        <x:f>IF(D10="Affitto",H10/I10,"")</x:f>
      </x:c>
      <x:c r="L10" s="3" t="n">
        <x:v>2</x:v>
      </x:c>
      <x:c r="M10" s="3" t="n">
        <x:v>1</x:v>
      </x:c>
      <x:c r="N10" s="3" t="str">
        <x:v>1</x:v>
      </x:c>
      <x:c r="O10" s="3" t="str">
        <x:v>Ottimo stato</x:v>
      </x:c>
      <x:c r="P10" s="3" t="str">
        <x:v>Lusso</x:v>
      </x:c>
      <x:c r="Q10" s="3" t="str">
        <x:v>Sì</x:v>
      </x:c>
      <x:c r="R10" s="3" t="str">
        <x:v>Sì</x:v>
      </x:c>
      <x:c r="S10" s="3" t="str">
        <x:v>No</x:v>
      </x:c>
      <x:c r="T10" s="3" t="str">
        <x:v>No</x:v>
      </x:c>
      <x:c r="U10" s="3" t="str">
        <x:v>N/D</x:v>
      </x:c>
      <x:c r="V10" s="3" t="str">
        <x:v>N/D</x:v>
      </x:c>
      <x:c r="W10" s="3" t="str">
        <x:v>N/D</x:v>
      </x:c>
      <x:c r="X10" s="9" t="n">
        <x:v>46236</x:v>
      </x:c>
      <x:c r="Y10" s="3" t="str">
        <x:v>N/D</x:v>
      </x:c>
      <x:c r="Z10" s="3" t="str">
        <x:v>Ultimo aggiornamento esposto</x:v>
      </x:c>
      <x:c r="AA10" s="3" t="str">
        <x:v>N/D</x:v>
      </x:c>
      <x:c r="AB10" s="9" t="n">
        <x:v>46270</x:v>
      </x:c>
      <x:c r="AC10" s="3" t="str">
        <x:v>Dettaglio annuncio</x:v>
      </x:c>
      <x:c r="AD10" s="3" t="str">
        <x:v>Prima pubblicazione non esposta. Prezzo richiesto; aggiornamento distinto dalla rilevazione.</x:v>
      </x:c>
      <x:c r="AE10" s="3" t="str">
        <x:v>C</x:v>
      </x:c>
      <x:c r="AF10" s="3" t="str">
        <x:v>Classe dichiarata</x:v>
      </x:c>
      <x:c r="AG10" s="9" t="n">
        <x:v>46270</x:v>
      </x:c>
    </x:row>
    <x:row r="11" ht="48" customHeight="1">
      <x:c r="A11" s="3" t="n">
        <x:v>210</x:v>
      </x:c>
      <x:c r="B11" s="3" t="n">
        <x:v>128135276</x:v>
      </x:c>
      <x:c r="C11" s="3" t="str">
        <x:v>Immobiliare.it</x:v>
      </x:c>
      <x:c r="D11" s="3" t="str">
        <x:v>Vendita</x:v>
      </x:c>
      <x:c r="E11" s="3" t="str">
        <x:v>Isola</x:v>
      </x:c>
      <x:c r="F11" s="3" t="str">
        <x:v>via Pastrengo 9</x:v>
      </x:c>
      <x:c r="G11" s="3" t="str">
        <x:v>Bilocale</x:v>
      </x:c>
      <x:c r="H11" s="6" t="n">
        <x:v>259000</x:v>
      </x:c>
      <x:c r="I11" s="7" t="n">
        <x:v>45</x:v>
      </x:c>
      <x:c r="J11" s="8" t="n">
        <x:f>IF(D11="Vendita",H11/I11,"")</x:f>
        <x:v>5755.555555555556</x:v>
      </x:c>
      <x:c r="K11" s="8" t="str">
        <x:f>IF(D11="Affitto",H11/I11,"")</x:f>
      </x:c>
      <x:c r="L11" s="3" t="n">
        <x:v>2</x:v>
      </x:c>
      <x:c r="M11" s="3" t="n">
        <x:v>1</x:v>
      </x:c>
      <x:c r="N11" s="3" t="str">
        <x:v>4</x:v>
      </x:c>
      <x:c r="O11" s="3" t="str">
        <x:v>Buono stato</x:v>
      </x:c>
      <x:c r="P11" s="3" t="str">
        <x:v>N/D</x:v>
      </x:c>
      <x:c r="Q11" s="3" t="str">
        <x:v>No</x:v>
      </x:c>
      <x:c r="R11" s="3" t="str">
        <x:v>No</x:v>
      </x:c>
      <x:c r="S11" s="3" t="str">
        <x:v>No</x:v>
      </x:c>
      <x:c r="T11" s="3" t="str">
        <x:v>No</x:v>
      </x:c>
      <x:c r="U11" s="3" t="str">
        <x:v>Sì</x:v>
      </x:c>
      <x:c r="V11" s="3" t="str">
        <x:v>N/D</x:v>
      </x:c>
      <x:c r="W11" s="3" t="str">
        <x:v>N/D</x:v>
      </x:c>
      <x:c r="X11" s="9" t="n">
        <x:v>46213</x:v>
      </x:c>
      <x:c r="Y11" s="3" t="str">
        <x:v>N/D</x:v>
      </x:c>
      <x:c r="Z11" s="3" t="str">
        <x:v>Ultimo aggiornamento esposto</x:v>
      </x:c>
      <x:c r="AA11" s="3" t="str">
        <x:v>N/D</x:v>
      </x:c>
      <x:c r="AB11" s="9" t="n">
        <x:v>46270</x:v>
      </x:c>
      <x:c r="AC11" s="3" t="str">
        <x:v>Dettaglio annuncio</x:v>
      </x:c>
      <x:c r="AD11" s="3" t="str">
        <x:v>Prima pubblicazione non esposta. Prezzo richiesto; aggiornamento distinto dalla rilevazione.</x:v>
      </x:c>
      <x:c r="AE11" s="3" t="str">
        <x:v>G</x:v>
      </x:c>
      <x:c r="AF11" s="3" t="str">
        <x:v>Classe dichiarata</x:v>
      </x:c>
      <x:c r="AG11" s="9" t="n">
        <x:v>46270</x:v>
      </x:c>
    </x:row>
    <x:row r="12" ht="48" customHeight="1">
      <x:c r="A12" s="3" t="n">
        <x:v>211</x:v>
      </x:c>
      <x:c r="B12" s="3" t="n">
        <x:v>132081260</x:v>
      </x:c>
      <x:c r="C12" s="3" t="str">
        <x:v>Immobiliare.it</x:v>
      </x:c>
      <x:c r="D12" s="3" t="str">
        <x:v>Vendita</x:v>
      </x:c>
      <x:c r="E12" s="3" t="str">
        <x:v>Isola</x:v>
      </x:c>
      <x:c r="F12" s="3" t="str">
        <x:v>via Pola 19</x:v>
      </x:c>
      <x:c r="G12" s="3" t="str">
        <x:v>Bilocale</x:v>
      </x:c>
      <x:c r="H12" s="6" t="n">
        <x:v>399000</x:v>
      </x:c>
      <x:c r="I12" s="7" t="n">
        <x:v>55</x:v>
      </x:c>
      <x:c r="J12" s="8" t="n">
        <x:f>IF(D12="Vendita",H12/I12,"")</x:f>
        <x:v>7254.545454545455</x:v>
      </x:c>
      <x:c r="K12" s="8" t="str">
        <x:f>IF(D12="Affitto",H12/I12,"")</x:f>
      </x:c>
      <x:c r="L12" s="3" t="n">
        <x:v>2</x:v>
      </x:c>
      <x:c r="M12" s="3" t="n">
        <x:v>1</x:v>
      </x:c>
      <x:c r="N12" s="3" t="str">
        <x:v>Piano rialzato</x:v>
      </x:c>
      <x:c r="O12" s="3" t="str">
        <x:v>Ottimo stato</x:v>
      </x:c>
      <x:c r="P12" s="3" t="str">
        <x:v>N/D</x:v>
      </x:c>
      <x:c r="Q12" s="3" t="str">
        <x:v>Sì</x:v>
      </x:c>
      <x:c r="R12" s="3" t="str">
        <x:v>No</x:v>
      </x:c>
      <x:c r="S12" s="3" t="str">
        <x:v>No</x:v>
      </x:c>
      <x:c r="T12" s="3" t="str">
        <x:v>Sì</x:v>
      </x:c>
      <x:c r="U12" s="3" t="str">
        <x:v>Sì</x:v>
      </x:c>
      <x:c r="V12" s="3" t="str">
        <x:v>N/D</x:v>
      </x:c>
      <x:c r="W12" s="3" t="str">
        <x:v>N/D</x:v>
      </x:c>
      <x:c r="X12" s="9" t="n">
        <x:v>46266</x:v>
      </x:c>
      <x:c r="Y12" s="3" t="str">
        <x:v>N/D</x:v>
      </x:c>
      <x:c r="Z12" s="3" t="str">
        <x:v>Ultimo aggiornamento esposto</x:v>
      </x:c>
      <x:c r="AA12" s="3" t="str">
        <x:v>N/D</x:v>
      </x:c>
      <x:c r="AB12" s="9" t="n">
        <x:v>46270</x:v>
      </x:c>
      <x:c r="AC12" s="3" t="str">
        <x:v>Dettaglio annuncio</x:v>
      </x:c>
      <x:c r="AD12" s="3" t="str">
        <x:v>Prima pubblicazione non esposta. Prezzo richiesto; aggiornamento distinto dalla rilevazione.</x:v>
      </x:c>
      <x:c r="AE12" s="3" t="str">
        <x:v>G</x:v>
      </x:c>
      <x:c r="AF12" s="3" t="str">
        <x:v>Classe dichiarata</x:v>
      </x:c>
      <x:c r="AG12" s="9" t="n">
        <x:v>46270</x:v>
      </x:c>
    </x:row>
    <x:row r="13" ht="48" customHeight="1">
      <x:c r="A13" s="3" t="n">
        <x:v>212</x:v>
      </x:c>
      <x:c r="B13" s="3" t="n">
        <x:v>120847644</x:v>
      </x:c>
      <x:c r="C13" s="3" t="str">
        <x:v>Immobiliare.it</x:v>
      </x:c>
      <x:c r="D13" s="3" t="str">
        <x:v>Vendita</x:v>
      </x:c>
      <x:c r="E13" s="3" t="str">
        <x:v>Porta Romana - Medaglie d'Oro</x:v>
      </x:c>
      <x:c r="F13" s="3" t="str">
        <x:v>corso Lodi 13</x:v>
      </x:c>
      <x:c r="G13" s="3" t="str">
        <x:v>Quadrilocale</x:v>
      </x:c>
      <x:c r="H13" s="6" t="n">
        <x:v>1900000</x:v>
      </x:c>
      <x:c r="I13" s="7" t="n">
        <x:v>180</x:v>
      </x:c>
      <x:c r="J13" s="8" t="n">
        <x:f>IF(D13="Vendita",H13/I13,"")</x:f>
        <x:v>10555.555555555555</x:v>
      </x:c>
      <x:c r="K13" s="8" t="str">
        <x:f>IF(D13="Affitto",H13/I13,"")</x:f>
      </x:c>
      <x:c r="L13" s="3" t="n">
        <x:v>4</x:v>
      </x:c>
      <x:c r="M13" s="3" t="n">
        <x:v>3</x:v>
      </x:c>
      <x:c r="N13" s="3" t="str">
        <x:v>4</x:v>
      </x:c>
      <x:c r="O13" s="3" t="str">
        <x:v>Nuovo</x:v>
      </x:c>
      <x:c r="P13" s="3" t="str">
        <x:v>Lusso</x:v>
      </x:c>
      <x:c r="Q13" s="3" t="str">
        <x:v>Sì</x:v>
      </x:c>
      <x:c r="R13" s="3" t="str">
        <x:v>Sì</x:v>
      </x:c>
      <x:c r="S13" s="3" t="str">
        <x:v>No</x:v>
      </x:c>
      <x:c r="T13" s="3" t="str">
        <x:v>No</x:v>
      </x:c>
      <x:c r="U13" s="3" t="str">
        <x:v>Sì</x:v>
      </x:c>
      <x:c r="V13" s="3" t="str">
        <x:v>N/D</x:v>
      </x:c>
      <x:c r="W13" s="3" t="str">
        <x:v>N/D</x:v>
      </x:c>
      <x:c r="X13" s="9" t="n">
        <x:v>46071</x:v>
      </x:c>
      <x:c r="Y13" s="3" t="str">
        <x:v>N/D</x:v>
      </x:c>
      <x:c r="Z13" s="3" t="str">
        <x:v>Ultimo aggiornamento esposto</x:v>
      </x:c>
      <x:c r="AA13" s="3" t="str">
        <x:v>N/D</x:v>
      </x:c>
      <x:c r="AB13" s="9" t="n">
        <x:v>46270</x:v>
      </x:c>
      <x:c r="AC13" s="3" t="str">
        <x:v>Dettaglio annuncio</x:v>
      </x:c>
      <x:c r="AD13" s="3" t="str">
        <x:v>Prima pubblicazione non esposta. Prezzo richiesto; aggiornamento distinto dalla rilevazione.</x:v>
      </x:c>
      <x:c r="AE13" s="3" t="str">
        <x:v>A</x:v>
      </x:c>
      <x:c r="AF13" s="3" t="str">
        <x:v>Classe dichiarata</x:v>
      </x:c>
      <x:c r="AG13" s="9" t="n">
        <x:v>46270</x:v>
      </x:c>
    </x:row>
    <x:row r="14" ht="48" customHeight="1">
      <x:c r="A14" s="3" t="n">
        <x:v>213</x:v>
      </x:c>
      <x:c r="B14" s="3" t="n">
        <x:v>130163194</x:v>
      </x:c>
      <x:c r="C14" s="3" t="str">
        <x:v>Immobiliare.it</x:v>
      </x:c>
      <x:c r="D14" s="3" t="str">
        <x:v>Vendita</x:v>
      </x:c>
      <x:c r="E14" s="3" t="str">
        <x:v>Porta Romana - Medaglie d'Oro</x:v>
      </x:c>
      <x:c r="F14" s="3" t="str">
        <x:v>corso Lodi 7</x:v>
      </x:c>
      <x:c r="G14" s="3" t="str">
        <x:v>Quadrilocale</x:v>
      </x:c>
      <x:c r="H14" s="6" t="n">
        <x:v>850000</x:v>
      </x:c>
      <x:c r="I14" s="7" t="n">
        <x:v>120</x:v>
      </x:c>
      <x:c r="J14" s="8" t="n">
        <x:f>IF(D14="Vendita",H14/I14,"")</x:f>
        <x:v>7083.333333333333</x:v>
      </x:c>
      <x:c r="K14" s="8" t="str">
        <x:f>IF(D14="Affitto",H14/I14,"")</x:f>
      </x:c>
      <x:c r="L14" s="3" t="n">
        <x:v>4</x:v>
      </x:c>
      <x:c r="M14" s="3" t="n">
        <x:v>2</x:v>
      </x:c>
      <x:c r="N14" s="3" t="str">
        <x:v>1</x:v>
      </x:c>
      <x:c r="O14" s="3" t="str">
        <x:v>Ottimo stato</x:v>
      </x:c>
      <x:c r="P14" s="3" t="str">
        <x:v>Lusso</x:v>
      </x:c>
      <x:c r="Q14" s="3" t="str">
        <x:v>Sì</x:v>
      </x:c>
      <x:c r="R14" s="3" t="str">
        <x:v>No</x:v>
      </x:c>
      <x:c r="S14" s="3" t="str">
        <x:v>No</x:v>
      </x:c>
      <x:c r="T14" s="3" t="str">
        <x:v>Parzialmente Arredato</x:v>
      </x:c>
      <x:c r="U14" s="3" t="str">
        <x:v>N/D</x:v>
      </x:c>
      <x:c r="V14" s="3" t="str">
        <x:v>N/D</x:v>
      </x:c>
      <x:c r="W14" s="3" t="str">
        <x:v>N/D</x:v>
      </x:c>
      <x:c r="X14" s="9" t="n">
        <x:v>46241</x:v>
      </x:c>
      <x:c r="Y14" s="3" t="str">
        <x:v>N/D</x:v>
      </x:c>
      <x:c r="Z14" s="3" t="str">
        <x:v>Ultimo aggiornamento esposto</x:v>
      </x:c>
      <x:c r="AA14" s="3" t="str">
        <x:v>N/D</x:v>
      </x:c>
      <x:c r="AB14" s="9" t="n">
        <x:v>46270</x:v>
      </x:c>
      <x:c r="AC14" s="3" t="str">
        <x:v>Dettaglio annuncio</x:v>
      </x:c>
      <x:c r="AD14" s="3" t="str">
        <x:v>Prima pubblicazione non esposta. Prezzo richiesto; aggiornamento distinto dalla rilevazione.</x:v>
      </x:c>
      <x:c r="AE14" s="3" t="str">
        <x:v>F</x:v>
      </x:c>
      <x:c r="AF14" s="3" t="str">
        <x:v>Classe dichiarata</x:v>
      </x:c>
      <x:c r="AG14" s="9" t="n">
        <x:v>46270</x:v>
      </x:c>
    </x:row>
    <x:row r="15" ht="48" customHeight="1">
      <x:c r="A15" s="3" t="n">
        <x:v>214</x:v>
      </x:c>
      <x:c r="B15" s="3" t="n">
        <x:v>129575622</x:v>
      </x:c>
      <x:c r="C15" s="3" t="str">
        <x:v>Immobiliare.it</x:v>
      </x:c>
      <x:c r="D15" s="3" t="str">
        <x:v>Vendita</x:v>
      </x:c>
      <x:c r="E15" s="3" t="str">
        <x:v>Porta Romana - Medaglie d'Oro</x:v>
      </x:c>
      <x:c r="F15" s="3" t="str">
        <x:v>via Atto Vannucci 11</x:v>
      </x:c>
      <x:c r="G15" s="3" t="str">
        <x:v>Bilocale</x:v>
      </x:c>
      <x:c r="H15" s="6" t="n">
        <x:v>374000</x:v>
      </x:c>
      <x:c r="I15" s="7" t="n">
        <x:v>47</x:v>
      </x:c>
      <x:c r="J15" s="8" t="n">
        <x:f>IF(D15="Vendita",H15/I15,"")</x:f>
        <x:v>7957.446808510638</x:v>
      </x:c>
      <x:c r="K15" s="8" t="str">
        <x:f>IF(D15="Affitto",H15/I15,"")</x:f>
      </x:c>
      <x:c r="L15" s="3" t="n">
        <x:v>2</x:v>
      </x:c>
      <x:c r="M15" s="3" t="n">
        <x:v>1</x:v>
      </x:c>
      <x:c r="N15" s="3" t="str">
        <x:v>2</x:v>
      </x:c>
      <x:c r="O15" s="3" t="str">
        <x:v>Ottimo stato</x:v>
      </x:c>
      <x:c r="P15" s="3" t="str">
        <x:v>N/D</x:v>
      </x:c>
      <x:c r="Q15" s="3" t="str">
        <x:v>Sì</x:v>
      </x:c>
      <x:c r="R15" s="3" t="str">
        <x:v>No</x:v>
      </x:c>
      <x:c r="S15" s="3" t="str">
        <x:v>No</x:v>
      </x:c>
      <x:c r="T15" s="3" t="str">
        <x:v>Parzialmente Arredato</x:v>
      </x:c>
      <x:c r="U15" s="3" t="str">
        <x:v>Sì</x:v>
      </x:c>
      <x:c r="V15" s="3" t="str">
        <x:v>N/D</x:v>
      </x:c>
      <x:c r="W15" s="3" t="str">
        <x:v>N/D</x:v>
      </x:c>
      <x:c r="X15" s="9" t="n">
        <x:v>46262</x:v>
      </x:c>
      <x:c r="Y15" s="3" t="str">
        <x:v>N/D</x:v>
      </x:c>
      <x:c r="Z15" s="3" t="str">
        <x:v>Ultimo aggiornamento esposto</x:v>
      </x:c>
      <x:c r="AA15" s="3" t="str">
        <x:v>N/D</x:v>
      </x:c>
      <x:c r="AB15" s="9" t="n">
        <x:v>46270</x:v>
      </x:c>
      <x:c r="AC15" s="3" t="str">
        <x:v>Dettaglio annuncio</x:v>
      </x:c>
      <x:c r="AD15" s="3" t="str">
        <x:v>Prima pubblicazione non esposta. Prezzo richiesto; aggiornamento distinto dalla rilevazione.</x:v>
      </x:c>
      <x:c r="AE15" s="3" t="str">
        <x:v>D</x:v>
      </x:c>
      <x:c r="AF15" s="3" t="str">
        <x:v>Classe dichiarata</x:v>
      </x:c>
      <x:c r="AG15" s="9" t="n">
        <x:v>46270</x:v>
      </x:c>
    </x:row>
    <x:row r="16" ht="48" customHeight="1">
      <x:c r="A16" s="3" t="n">
        <x:v>215</x:v>
      </x:c>
      <x:c r="B16" s="3" t="n">
        <x:v>130768170</x:v>
      </x:c>
      <x:c r="C16" s="3" t="str">
        <x:v>Immobiliare.it</x:v>
      </x:c>
      <x:c r="D16" s="3" t="str">
        <x:v>Vendita</x:v>
      </x:c>
      <x:c r="E16" s="3" t="str">
        <x:v>Porta Romana - Medaglie d'Oro</x:v>
      </x:c>
      <x:c r="F16" s="3" t="str">
        <x:v>via Crema</x:v>
      </x:c>
      <x:c r="G16" s="3" t="str">
        <x:v>Bilocale</x:v>
      </x:c>
      <x:c r="H16" s="6" t="n">
        <x:v>345000</x:v>
      </x:c>
      <x:c r="I16" s="7" t="n">
        <x:v>50</x:v>
      </x:c>
      <x:c r="J16" s="8" t="n">
        <x:f>IF(D16="Vendita",H16/I16,"")</x:f>
        <x:v>6900</x:v>
      </x:c>
      <x:c r="K16" s="8" t="str">
        <x:f>IF(D16="Affitto",H16/I16,"")</x:f>
      </x:c>
      <x:c r="L16" s="3" t="n">
        <x:v>2</x:v>
      </x:c>
      <x:c r="M16" s="3" t="n">
        <x:v>1</x:v>
      </x:c>
      <x:c r="N16" s="3" t="str">
        <x:v>6</x:v>
      </x:c>
      <x:c r="O16" s="3" t="str">
        <x:v>Ottimo stato</x:v>
      </x:c>
      <x:c r="P16" s="3" t="str">
        <x:v>N/D</x:v>
      </x:c>
      <x:c r="Q16" s="3" t="str">
        <x:v>Sì</x:v>
      </x:c>
      <x:c r="R16" s="3" t="str">
        <x:v>Sì</x:v>
      </x:c>
      <x:c r="S16" s="3" t="str">
        <x:v>Sì</x:v>
      </x:c>
      <x:c r="T16" s="3" t="str">
        <x:v>Sì</x:v>
      </x:c>
      <x:c r="U16" s="3" t="str">
        <x:v>N/D</x:v>
      </x:c>
      <x:c r="V16" s="3" t="str">
        <x:v>2 in box privato/box in garage, 2 posto auto</x:v>
      </x:c>
      <x:c r="W16" s="3" t="str">
        <x:v>N/D</x:v>
      </x:c>
      <x:c r="X16" s="9" t="n">
        <x:v>46232</x:v>
      </x:c>
      <x:c r="Y16" s="3" t="str">
        <x:v>N/D</x:v>
      </x:c>
      <x:c r="Z16" s="3" t="str">
        <x:v>Ultimo aggiornamento esposto</x:v>
      </x:c>
      <x:c r="AA16" s="3" t="str">
        <x:v>N/D</x:v>
      </x:c>
      <x:c r="AB16" s="9" t="n">
        <x:v>46270</x:v>
      </x:c>
      <x:c r="AC16" s="3" t="str">
        <x:v>Dettaglio annuncio</x:v>
      </x:c>
      <x:c r="AD16" s="3" t="str">
        <x:v>Prima pubblicazione non esposta. Prezzo richiesto; aggiornamento distinto dalla rilevazione.</x:v>
      </x:c>
      <x:c r="AE16" s="3" t="str">
        <x:v>C</x:v>
      </x:c>
      <x:c r="AF16" s="3" t="str">
        <x:v>Classe dichiarata</x:v>
      </x:c>
      <x:c r="AG16" s="9" t="n">
        <x:v>46270</x:v>
      </x:c>
    </x:row>
    <x:row r="17" ht="48" customHeight="1">
      <x:c r="A17" s="3" t="n">
        <x:v>216</x:v>
      </x:c>
      <x:c r="B17" s="3" t="n">
        <x:v>130083578</x:v>
      </x:c>
      <x:c r="C17" s="3" t="str">
        <x:v>Immobiliare.it</x:v>
      </x:c>
      <x:c r="D17" s="3" t="str">
        <x:v>Vendita</x:v>
      </x:c>
      <x:c r="E17" s="3" t="str">
        <x:v>Porta Romana - Medaglie d'Oro</x:v>
      </x:c>
      <x:c r="F17" s="3" t="str">
        <x:v>via G. Romano 17</x:v>
      </x:c>
      <x:c r="G17" s="3" t="str">
        <x:v>Bilocale</x:v>
      </x:c>
      <x:c r="H17" s="6" t="n">
        <x:v>360000</x:v>
      </x:c>
      <x:c r="I17" s="7" t="n">
        <x:v>55</x:v>
      </x:c>
      <x:c r="J17" s="8" t="n">
        <x:f>IF(D17="Vendita",H17/I17,"")</x:f>
        <x:v>6545.454545454545</x:v>
      </x:c>
      <x:c r="K17" s="8" t="str">
        <x:f>IF(D17="Affitto",H17/I17,"")</x:f>
      </x:c>
      <x:c r="L17" s="3" t="n">
        <x:v>2</x:v>
      </x:c>
      <x:c r="M17" s="3" t="n">
        <x:v>1</x:v>
      </x:c>
      <x:c r="N17" s="3" t="str">
        <x:v>Piano terra</x:v>
      </x:c>
      <x:c r="O17" s="3" t="str">
        <x:v>Ottimo stato</x:v>
      </x:c>
      <x:c r="P17" s="3" t="str">
        <x:v>N/D</x:v>
      </x:c>
      <x:c r="Q17" s="3" t="str">
        <x:v>No</x:v>
      </x:c>
      <x:c r="R17" s="3" t="str">
        <x:v>No</x:v>
      </x:c>
      <x:c r="S17" s="3" t="str">
        <x:v>No</x:v>
      </x:c>
      <x:c r="T17" s="3" t="str">
        <x:v>No</x:v>
      </x:c>
      <x:c r="U17" s="3" t="str">
        <x:v>N/D</x:v>
      </x:c>
      <x:c r="V17" s="3" t="str">
        <x:v>N/D</x:v>
      </x:c>
      <x:c r="W17" s="3" t="str">
        <x:v>N/D</x:v>
      </x:c>
      <x:c r="X17" s="9" t="n">
        <x:v>46262</x:v>
      </x:c>
      <x:c r="Y17" s="3" t="str">
        <x:v>N/D</x:v>
      </x:c>
      <x:c r="Z17" s="3" t="str">
        <x:v>Ultimo aggiornamento esposto</x:v>
      </x:c>
      <x:c r="AA17" s="3" t="str">
        <x:v>N/D</x:v>
      </x:c>
      <x:c r="AB17" s="9" t="n">
        <x:v>46270</x:v>
      </x:c>
      <x:c r="AC17" s="3" t="str">
        <x:v>Dettaglio annuncio</x:v>
      </x:c>
      <x:c r="AD17" s="3" t="str">
        <x:v>Prima pubblicazione non esposta. Prezzo richiesto; aggiornamento distinto dalla rilevazione.</x:v>
      </x:c>
      <x:c r="AE17" s="3" t="str">
        <x:v>F</x:v>
      </x:c>
      <x:c r="AF17" s="3" t="str">
        <x:v>Classe dichiarata</x:v>
      </x:c>
      <x:c r="AG17" s="9" t="n">
        <x:v>46270</x:v>
      </x:c>
    </x:row>
    <x:row r="18" ht="48" customHeight="1">
      <x:c r="A18" s="3" t="n">
        <x:v>217</x:v>
      </x:c>
      <x:c r="B18" s="3" t="n">
        <x:v>125963643</x:v>
      </x:c>
      <x:c r="C18" s="3" t="str">
        <x:v>Immobiliare.it</x:v>
      </x:c>
      <x:c r="D18" s="3" t="str">
        <x:v>Vendita</x:v>
      </x:c>
      <x:c r="E18" s="3" t="str">
        <x:v>Porta Romana - Medaglie d'Oro</x:v>
      </x:c>
      <x:c r="F18" s="3" t="str">
        <x:v>viale Umbria 21</x:v>
      </x:c>
      <x:c r="G18" s="3" t="str">
        <x:v>Bilocale</x:v>
      </x:c>
      <x:c r="H18" s="6" t="n">
        <x:v>357000</x:v>
      </x:c>
      <x:c r="I18" s="7" t="n">
        <x:v>65</x:v>
      </x:c>
      <x:c r="J18" s="8" t="n">
        <x:f>IF(D18="Vendita",H18/I18,"")</x:f>
        <x:v>5492.307692307692</x:v>
      </x:c>
      <x:c r="K18" s="8" t="str">
        <x:f>IF(D18="Affitto",H18/I18,"")</x:f>
      </x:c>
      <x:c r="L18" s="3" t="n">
        <x:v>2</x:v>
      </x:c>
      <x:c r="M18" s="3" t="n">
        <x:v>1</x:v>
      </x:c>
      <x:c r="N18" s="3" t="str">
        <x:v>1, 5</x:v>
      </x:c>
      <x:c r="O18" s="3" t="str">
        <x:v>Ottimo stato</x:v>
      </x:c>
      <x:c r="P18" s="3" t="str">
        <x:v>N/D</x:v>
      </x:c>
      <x:c r="Q18" s="3" t="str">
        <x:v>Sì</x:v>
      </x:c>
      <x:c r="R18" s="3" t="str">
        <x:v>Sì</x:v>
      </x:c>
      <x:c r="S18" s="3" t="str">
        <x:v>Sì</x:v>
      </x:c>
      <x:c r="T18" s="3" t="str">
        <x:v>Sì</x:v>
      </x:c>
      <x:c r="U18" s="3" t="str">
        <x:v>N/D</x:v>
      </x:c>
      <x:c r="V18" s="3" t="str">
        <x:v>N/D</x:v>
      </x:c>
      <x:c r="W18" s="3" t="str">
        <x:v>N/D</x:v>
      </x:c>
      <x:c r="X18" s="9" t="n">
        <x:v>46234</x:v>
      </x:c>
      <x:c r="Y18" s="3" t="str">
        <x:v>N/D</x:v>
      </x:c>
      <x:c r="Z18" s="3" t="str">
        <x:v>Ultimo aggiornamento esposto</x:v>
      </x:c>
      <x:c r="AA18" s="3" t="str">
        <x:v>N/D</x:v>
      </x:c>
      <x:c r="AB18" s="9" t="n">
        <x:v>46270</x:v>
      </x:c>
      <x:c r="AC18" s="3" t="str">
        <x:v>Dettaglio annuncio</x:v>
      </x:c>
      <x:c r="AD18" s="3" t="str">
        <x:v>Prima pubblicazione non esposta. Prezzo richiesto; aggiornamento distinto dalla rilevazione.</x:v>
      </x:c>
      <x:c r="AE18" s="3" t="str">
        <x:v>C</x:v>
      </x:c>
      <x:c r="AF18" s="3" t="str">
        <x:v>Classe dichiarata</x:v>
      </x:c>
      <x:c r="AG18" s="9" t="n">
        <x:v>46270</x:v>
      </x:c>
    </x:row>
    <x:row r="19" ht="48" customHeight="1">
      <x:c r="A19" s="3" t="n">
        <x:v>218</x:v>
      </x:c>
      <x:c r="B19" s="3" t="n">
        <x:v>36025686</x:v>
      </x:c>
      <x:c r="C19" s="3" t="str">
        <x:v>Idealista</x:v>
      </x:c>
      <x:c r="D19" s="3" t="str">
        <x:v>Vendita</x:v>
      </x:c>
      <x:c r="E19" s="3" t="str">
        <x:v>Porta Venezia - Repubblica</x:v>
      </x:c>
      <x:c r="F19" s="3" t="str">
        <x:v>Corso Buenos Aires, 5</x:v>
      </x:c>
      <x:c r="G19" s="3" t="str">
        <x:v>Trilocale</x:v>
      </x:c>
      <x:c r="H19" s="6" t="n">
        <x:v>1190000</x:v>
      </x:c>
      <x:c r="I19" s="7" t="n">
        <x:v>120</x:v>
      </x:c>
      <x:c r="J19" s="8" t="n">
        <x:f>IF(D19="Vendita",H19/I19,"")</x:f>
        <x:v>9916.666666666666</x:v>
      </x:c>
      <x:c r="K19" s="8" t="str">
        <x:f>IF(D19="Affitto",H19/I19,"")</x:f>
      </x:c>
      <x:c r="L19" s="3" t="n">
        <x:v>3</x:v>
      </x:c>
      <x:c r="M19" s="3" t="n">
        <x:v>2</x:v>
      </x:c>
      <x:c r="N19" s="3" t="str">
        <x:v>4º piano</x:v>
      </x:c>
      <x:c r="O19" s="3" t="str">
        <x:v>Buono stato</x:v>
      </x:c>
      <x:c r="P19" s="3" t="str">
        <x:v>N/D</x:v>
      </x:c>
      <x:c r="Q19" s="3" t="str">
        <x:v>Sì</x:v>
      </x:c>
      <x:c r="R19" s="3" t="str">
        <x:v>Sì</x:v>
      </x:c>
      <x:c r="S19" s="3" t="str">
        <x:v>N/D</x:v>
      </x:c>
      <x:c r="T19" s="3" t="str">
        <x:v>N/D</x:v>
      </x:c>
      <x:c r="U19" s="3" t="str">
        <x:v>Sì</x:v>
      </x:c>
      <x:c r="V19" s="3" t="str">
        <x:v>N/D</x:v>
      </x:c>
      <x:c r="W19" s="3" t="str">
        <x:v>N/D</x:v>
      </x:c>
      <x:c r="X19" s="9" t="str">
        <x:v>N/D</x:v>
      </x:c>
      <x:c r="Y19" s="3" t="str">
        <x:v>24 agosto</x:v>
      </x:c>
      <x:c r="Z19" s="3" t="str">
        <x:v>Aggiornamento senza anno esplicito</x:v>
      </x:c>
      <x:c r="AA19" s="3" t="str">
        <x:v>N/D</x:v>
      </x:c>
      <x:c r="AB19" s="9" t="n">
        <x:v>46270</x:v>
      </x:c>
      <x:c r="AC19" s="3" t="str">
        <x:v>Dettaglio annuncio</x:v>
      </x:c>
      <x:c r="AD19" s="3" t="str">
        <x:v>Prima pubblicazione non esposta. Prezzo richiesto; aggiornamento distinto dalla rilevazione.</x:v>
      </x:c>
      <x:c r="AE19" s="3" t="str">
        <x:v>N/D</x:v>
      </x:c>
      <x:c r="AF19" s="3" t="str">
        <x:v>Classe non leggibile nel testo disponibile</x:v>
      </x:c>
      <x:c r="AG19" s="9" t="n">
        <x:v>46270</x:v>
      </x:c>
    </x:row>
    <x:row r="20" ht="48" customHeight="1">
      <x:c r="A20" s="3" t="n">
        <x:v>219</x:v>
      </x:c>
      <x:c r="B20" s="3" t="n">
        <x:v>35312798</x:v>
      </x:c>
      <x:c r="C20" s="3" t="str">
        <x:v>Idealista</x:v>
      </x:c>
      <x:c r="D20" s="3" t="str">
        <x:v>Vendita</x:v>
      </x:c>
      <x:c r="E20" s="3" t="str">
        <x:v>Porta Venezia - Repubblica</x:v>
      </x:c>
      <x:c r="F20" s="3" t="str">
        <x:v>Via Giuseppe Sirtori, 5</x:v>
      </x:c>
      <x:c r="G20" s="3" t="str">
        <x:v>Trilocale</x:v>
      </x:c>
      <x:c r="H20" s="6" t="n">
        <x:v>982000</x:v>
      </x:c>
      <x:c r="I20" s="7" t="n">
        <x:v>141</x:v>
      </x:c>
      <x:c r="J20" s="8" t="n">
        <x:f>IF(D20="Vendita",H20/I20,"")</x:f>
        <x:v>6964.5390070921985</x:v>
      </x:c>
      <x:c r="K20" s="8" t="str">
        <x:f>IF(D20="Affitto",H20/I20,"")</x:f>
      </x:c>
      <x:c r="L20" s="3" t="n">
        <x:v>3</x:v>
      </x:c>
      <x:c r="M20" s="3" t="n">
        <x:v>2</x:v>
      </x:c>
      <x:c r="N20" s="3" t="str">
        <x:v>Piano rialzato</x:v>
      </x:c>
      <x:c r="O20" s="3" t="str">
        <x:v>Buono stato</x:v>
      </x:c>
      <x:c r="P20" s="3" t="str">
        <x:v>N/D</x:v>
      </x:c>
      <x:c r="Q20" s="3" t="str">
        <x:v>Sì</x:v>
      </x:c>
      <x:c r="R20" s="3" t="str">
        <x:v>N/D</x:v>
      </x:c>
      <x:c r="S20" s="3" t="str">
        <x:v>N/D</x:v>
      </x:c>
      <x:c r="T20" s="3" t="str">
        <x:v>N/D</x:v>
      </x:c>
      <x:c r="U20" s="3" t="str">
        <x:v>Sì</x:v>
      </x:c>
      <x:c r="V20" s="3" t="str">
        <x:v>N/D</x:v>
      </x:c>
      <x:c r="W20" s="3" t="str">
        <x:v>N/D</x:v>
      </x:c>
      <x:c r="X20" s="9" t="str">
        <x:v>N/D</x:v>
      </x:c>
      <x:c r="Y20" s="3" t="str">
        <x:v>25 maggio</x:v>
      </x:c>
      <x:c r="Z20" s="3" t="str">
        <x:v>Aggiornamento senza anno esplicito</x:v>
      </x:c>
      <x:c r="AA20" s="3" t="str">
        <x:v>N/D</x:v>
      </x:c>
      <x:c r="AB20" s="9" t="n">
        <x:v>46270</x:v>
      </x:c>
      <x:c r="AC20" s="3" t="str">
        <x:v>Dettaglio annuncio</x:v>
      </x:c>
      <x:c r="AD20" s="3" t="str">
        <x:v>Prima pubblicazione non esposta. Prezzo richiesto; aggiornamento distinto dalla rilevazione.</x:v>
      </x:c>
      <x:c r="AE20" s="3" t="str">
        <x:v>B</x:v>
      </x:c>
      <x:c r="AF20" s="3" t="str">
        <x:v>Classe dichiarata</x:v>
      </x:c>
      <x:c r="AG20" s="9" t="n">
        <x:v>46270</x:v>
      </x:c>
    </x:row>
    <x:row r="21" ht="48" customHeight="1">
      <x:c r="A21" s="3" t="n">
        <x:v>220</x:v>
      </x:c>
      <x:c r="B21" s="3" t="n">
        <x:v>34227786</x:v>
      </x:c>
      <x:c r="C21" s="3" t="str">
        <x:v>Idealista</x:v>
      </x:c>
      <x:c r="D21" s="3" t="str">
        <x:v>Vendita</x:v>
      </x:c>
      <x:c r="E21" s="3" t="str">
        <x:v>Porta Venezia - Repubblica</x:v>
      </x:c>
      <x:c r="F21" s="3" t="str">
        <x:v>Via Lecco, 5</x:v>
      </x:c>
      <x:c r="G21" s="3" t="str">
        <x:v>Bilocale</x:v>
      </x:c>
      <x:c r="H21" s="6" t="n">
        <x:v>365000</x:v>
      </x:c>
      <x:c r="I21" s="7" t="n">
        <x:v>65</x:v>
      </x:c>
      <x:c r="J21" s="8" t="n">
        <x:f>IF(D21="Vendita",H21/I21,"")</x:f>
        <x:v>5615.384615384615</x:v>
      </x:c>
      <x:c r="K21" s="8" t="str">
        <x:f>IF(D21="Affitto",H21/I21,"")</x:f>
      </x:c>
      <x:c r="L21" s="3" t="n">
        <x:v>2</x:v>
      </x:c>
      <x:c r="M21" s="3" t="n">
        <x:v>2</x:v>
      </x:c>
      <x:c r="N21" s="3" t="str">
        <x:v>Piano terra</x:v>
      </x:c>
      <x:c r="O21" s="3" t="str">
        <x:v>Buono stato</x:v>
      </x:c>
      <x:c r="P21" s="3" t="str">
        <x:v>N/D</x:v>
      </x:c>
      <x:c r="Q21" s="3" t="str">
        <x:v>Sì</x:v>
      </x:c>
      <x:c r="R21" s="3" t="str">
        <x:v>N/D</x:v>
      </x:c>
      <x:c r="S21" s="3" t="str">
        <x:v>N/D</x:v>
      </x:c>
      <x:c r="T21" s="3" t="str">
        <x:v>N/D</x:v>
      </x:c>
      <x:c r="U21" s="3" t="str">
        <x:v>N/D</x:v>
      </x:c>
      <x:c r="V21" s="3" t="str">
        <x:v>N/D</x:v>
      </x:c>
      <x:c r="W21" s="3" t="str">
        <x:v>N/D</x:v>
      </x:c>
      <x:c r="X21" s="9" t="str">
        <x:v>N/D</x:v>
      </x:c>
      <x:c r="Y21" s="3" t="str">
        <x:v>1 luglio</x:v>
      </x:c>
      <x:c r="Z21" s="3" t="str">
        <x:v>Aggiornamento senza anno esplicito</x:v>
      </x:c>
      <x:c r="AA21" s="3" t="str">
        <x:v>N/D</x:v>
      </x:c>
      <x:c r="AB21" s="9" t="n">
        <x:v>46270</x:v>
      </x:c>
      <x:c r="AC21" s="3" t="str">
        <x:v>Dettaglio annuncio</x:v>
      </x:c>
      <x:c r="AD21" s="3" t="str">
        <x:v>Prima pubblicazione non esposta. Prezzo richiesto; aggiornamento distinto dalla rilevazione.</x:v>
      </x:c>
      <x:c r="AE21" s="3" t="str">
        <x:v>N/D</x:v>
      </x:c>
      <x:c r="AF21" s="3" t="str">
        <x:v>Classe non leggibile nel testo disponibile</x:v>
      </x:c>
      <x:c r="AG21" s="9" t="n">
        <x:v>46270</x:v>
      </x:c>
    </x:row>
    <x:row r="22" ht="48" customHeight="1">
      <x:c r="A22" s="3" t="n">
        <x:v>221</x:v>
      </x:c>
      <x:c r="B22" s="3" t="n">
        <x:v>35828880</x:v>
      </x:c>
      <x:c r="C22" s="3" t="str">
        <x:v>Idealista</x:v>
      </x:c>
      <x:c r="D22" s="3" t="str">
        <x:v>Vendita</x:v>
      </x:c>
      <x:c r="E22" s="3" t="str">
        <x:v>Porta Venezia - Repubblica</x:v>
      </x:c>
      <x:c r="F22" s="3" t="str">
        <x:v>Via Panfilo Castaldi s.n.c</x:v>
      </x:c>
      <x:c r="G22" s="3" t="str">
        <x:v>Bilocale</x:v>
      </x:c>
      <x:c r="H22" s="6" t="n">
        <x:v>330000</x:v>
      </x:c>
      <x:c r="I22" s="7" t="n">
        <x:v>43</x:v>
      </x:c>
      <x:c r="J22" s="8" t="n">
        <x:f>IF(D22="Vendita",H22/I22,"")</x:f>
        <x:v>7674.418604651163</x:v>
      </x:c>
      <x:c r="K22" s="8" t="str">
        <x:f>IF(D22="Affitto",H22/I22,"")</x:f>
      </x:c>
      <x:c r="L22" s="3" t="n">
        <x:v>2</x:v>
      </x:c>
      <x:c r="M22" s="3" t="n">
        <x:v>1</x:v>
      </x:c>
      <x:c r="N22" s="3" t="str">
        <x:v>4º piano</x:v>
      </x:c>
      <x:c r="O22" s="3" t="str">
        <x:v>Buono stato</x:v>
      </x:c>
      <x:c r="P22" s="3" t="str">
        <x:v>N/D</x:v>
      </x:c>
      <x:c r="Q22" s="3" t="str">
        <x:v>Sì</x:v>
      </x:c>
      <x:c r="R22" s="3" t="str">
        <x:v>N/D</x:v>
      </x:c>
      <x:c r="S22" s="3" t="str">
        <x:v>N/D</x:v>
      </x:c>
      <x:c r="T22" s="3" t="str">
        <x:v>N/D</x:v>
      </x:c>
      <x:c r="U22" s="3" t="str">
        <x:v>N/D</x:v>
      </x:c>
      <x:c r="V22" s="3" t="str">
        <x:v>N/D</x:v>
      </x:c>
      <x:c r="W22" s="3" t="str">
        <x:v>N/D</x:v>
      </x:c>
      <x:c r="X22" s="9" t="str">
        <x:v>N/D</x:v>
      </x:c>
      <x:c r="Y22" s="3" t="str">
        <x:v>17 agosto</x:v>
      </x:c>
      <x:c r="Z22" s="3" t="str">
        <x:v>Aggiornamento senza anno esplicito</x:v>
      </x:c>
      <x:c r="AA22" s="3" t="str">
        <x:v>N/D</x:v>
      </x:c>
      <x:c r="AB22" s="9" t="n">
        <x:v>46270</x:v>
      </x:c>
      <x:c r="AC22" s="3" t="str">
        <x:v>Dettaglio annuncio</x:v>
      </x:c>
      <x:c r="AD22" s="3" t="str">
        <x:v>Prima pubblicazione non esposta. Prezzo richiesto; aggiornamento distinto dalla rilevazione.</x:v>
      </x:c>
      <x:c r="AE22" s="3" t="str">
        <x:v>N/D</x:v>
      </x:c>
      <x:c r="AF22" s="3" t="str">
        <x:v>Classe non leggibile nel testo disponibile</x:v>
      </x:c>
      <x:c r="AG22" s="9" t="n">
        <x:v>46270</x:v>
      </x:c>
    </x:row>
    <x:row r="23" ht="48" customHeight="1">
      <x:c r="A23" s="3" t="n">
        <x:v>222</x:v>
      </x:c>
      <x:c r="B23" s="3" t="n">
        <x:v>36636990</x:v>
      </x:c>
      <x:c r="C23" s="3" t="str">
        <x:v>Idealista</x:v>
      </x:c>
      <x:c r="D23" s="3" t="str">
        <x:v>Vendita</x:v>
      </x:c>
      <x:c r="E23" s="3" t="str">
        <x:v>Porta Venezia - Repubblica</x:v>
      </x:c>
      <x:c r="F23" s="3" t="str">
        <x:v>Viale Tunisia, 13</x:v>
      </x:c>
      <x:c r="G23" s="3" t="str">
        <x:v>Bilocale</x:v>
      </x:c>
      <x:c r="H23" s="6" t="n">
        <x:v>435000</x:v>
      </x:c>
      <x:c r="I23" s="7" t="n">
        <x:v>50</x:v>
      </x:c>
      <x:c r="J23" s="8" t="n">
        <x:f>IF(D23="Vendita",H23/I23,"")</x:f>
        <x:v>8700</x:v>
      </x:c>
      <x:c r="K23" s="8" t="str">
        <x:f>IF(D23="Affitto",H23/I23,"")</x:f>
      </x:c>
      <x:c r="L23" s="3" t="n">
        <x:v>2</x:v>
      </x:c>
      <x:c r="M23" s="3" t="n">
        <x:v>1</x:v>
      </x:c>
      <x:c r="N23" s="3" t="str">
        <x:v>1º piano</x:v>
      </x:c>
      <x:c r="O23" s="3" t="str">
        <x:v>Buono stato</x:v>
      </x:c>
      <x:c r="P23" s="3" t="str">
        <x:v>N/D</x:v>
      </x:c>
      <x:c r="Q23" s="3" t="str">
        <x:v>Sì</x:v>
      </x:c>
      <x:c r="R23" s="3" t="str">
        <x:v>Sì</x:v>
      </x:c>
      <x:c r="S23" s="3" t="str">
        <x:v>N/D</x:v>
      </x:c>
      <x:c r="T23" s="3" t="str">
        <x:v>N/D</x:v>
      </x:c>
      <x:c r="U23" s="3" t="str">
        <x:v>N/D</x:v>
      </x:c>
      <x:c r="V23" s="3" t="str">
        <x:v>N/D</x:v>
      </x:c>
      <x:c r="W23" s="3" t="str">
        <x:v>N/D</x:v>
      </x:c>
      <x:c r="X23" s="9" t="str">
        <x:v>N/D</x:v>
      </x:c>
      <x:c r="Y23" s="3" t="str">
        <x:v>25 agosto</x:v>
      </x:c>
      <x:c r="Z23" s="3" t="str">
        <x:v>Aggiornamento senza anno esplicito</x:v>
      </x:c>
      <x:c r="AA23" s="3" t="str">
        <x:v>N/D</x:v>
      </x:c>
      <x:c r="AB23" s="9" t="n">
        <x:v>46270</x:v>
      </x:c>
      <x:c r="AC23" s="3" t="str">
        <x:v>Dettaglio annuncio</x:v>
      </x:c>
      <x:c r="AD23" s="3" t="str">
        <x:v>Prima pubblicazione non esposta. Prezzo richiesto; aggiornamento distinto dalla rilevazione.</x:v>
      </x:c>
      <x:c r="AE23" s="3" t="str">
        <x:v>N/D</x:v>
      </x:c>
      <x:c r="AF23" s="3" t="str">
        <x:v>Classe non leggibile nel testo disponibile</x:v>
      </x:c>
      <x:c r="AG23" s="9" t="n">
        <x:v>46270</x:v>
      </x:c>
    </x:row>
    <x:row r="24" ht="48" customHeight="1">
      <x:c r="A24" s="3" t="n">
        <x:v>223</x:v>
      </x:c>
      <x:c r="B24" s="3" t="n">
        <x:v>36031403</x:v>
      </x:c>
      <x:c r="C24" s="3" t="str">
        <x:v>Idealista</x:v>
      </x:c>
      <x:c r="D24" s="3" t="str">
        <x:v>Vendita</x:v>
      </x:c>
      <x:c r="E24" s="3" t="str">
        <x:v>Città Studi</x:v>
      </x:c>
      <x:c r="F24" s="3" t="str">
        <x:v>Piazza Enrico Bottini, 4</x:v>
      </x:c>
      <x:c r="G24" s="3" t="str">
        <x:v>Bilocale</x:v>
      </x:c>
      <x:c r="H24" s="6" t="n">
        <x:v>269000</x:v>
      </x:c>
      <x:c r="I24" s="7" t="n">
        <x:v>53</x:v>
      </x:c>
      <x:c r="J24" s="8" t="n">
        <x:f>IF(D24="Vendita",H24/I24,"")</x:f>
        <x:v>5075.471698113208</x:v>
      </x:c>
      <x:c r="K24" s="8" t="str">
        <x:f>IF(D24="Affitto",H24/I24,"")</x:f>
      </x:c>
      <x:c r="L24" s="3" t="n">
        <x:v>2</x:v>
      </x:c>
      <x:c r="M24" s="3" t="n">
        <x:v>1</x:v>
      </x:c>
      <x:c r="N24" s="3" t="str">
        <x:v>6º piano</x:v>
      </x:c>
      <x:c r="O24" s="3" t="str">
        <x:v>Buono stato</x:v>
      </x:c>
      <x:c r="P24" s="3" t="str">
        <x:v>N/D</x:v>
      </x:c>
      <x:c r="Q24" s="3" t="str">
        <x:v>Sì</x:v>
      </x:c>
      <x:c r="R24" s="3" t="str">
        <x:v>Sì</x:v>
      </x:c>
      <x:c r="S24" s="3" t="str">
        <x:v>N/D</x:v>
      </x:c>
      <x:c r="T24" s="3" t="str">
        <x:v>N/D</x:v>
      </x:c>
      <x:c r="U24" s="3" t="str">
        <x:v>Sì</x:v>
      </x:c>
      <x:c r="V24" s="3" t="str">
        <x:v>N/D</x:v>
      </x:c>
      <x:c r="W24" s="3" t="str">
        <x:v>N/D</x:v>
      </x:c>
      <x:c r="X24" s="9" t="str">
        <x:v>N/D</x:v>
      </x:c>
      <x:c r="Y24" s="3" t="str">
        <x:v>16 giugno</x:v>
      </x:c>
      <x:c r="Z24" s="3" t="str">
        <x:v>Aggiornamento senza anno esplicito</x:v>
      </x:c>
      <x:c r="AA24" s="3" t="str">
        <x:v>N/D</x:v>
      </x:c>
      <x:c r="AB24" s="9" t="n">
        <x:v>46270</x:v>
      </x:c>
      <x:c r="AC24" s="3" t="str">
        <x:v>Dettaglio annuncio</x:v>
      </x:c>
      <x:c r="AD24" s="3" t="str">
        <x:v>Prima pubblicazione non esposta. Prezzo richiesto; aggiornamento distinto dalla rilevazione.</x:v>
      </x:c>
      <x:c r="AE24" s="3" t="str">
        <x:v>G</x:v>
      </x:c>
      <x:c r="AF24" s="3" t="str">
        <x:v>Classe dichiarata</x:v>
      </x:c>
      <x:c r="AG24" s="9" t="n">
        <x:v>46270</x:v>
      </x:c>
    </x:row>
    <x:row r="25" ht="48" customHeight="1">
      <x:c r="A25" s="3" t="n">
        <x:v>224</x:v>
      </x:c>
      <x:c r="B25" s="3" t="n">
        <x:v>36115773</x:v>
      </x:c>
      <x:c r="C25" s="3" t="str">
        <x:v>Idealista</x:v>
      </x:c>
      <x:c r="D25" s="3" t="str">
        <x:v>Vendita</x:v>
      </x:c>
      <x:c r="E25" s="3" t="str">
        <x:v>Città Studi</x:v>
      </x:c>
      <x:c r="F25" s="3" t="str">
        <x:v>Via Alessandro Milesi, 4</x:v>
      </x:c>
      <x:c r="G25" s="3" t="str">
        <x:v>Bilocale</x:v>
      </x:c>
      <x:c r="H25" s="6" t="n">
        <x:v>285000</x:v>
      </x:c>
      <x:c r="I25" s="7" t="n">
        <x:v>60</x:v>
      </x:c>
      <x:c r="J25" s="8" t="n">
        <x:f>IF(D25="Vendita",H25/I25,"")</x:f>
        <x:v>4750</x:v>
      </x:c>
      <x:c r="K25" s="8" t="str">
        <x:f>IF(D25="Affitto",H25/I25,"")</x:f>
      </x:c>
      <x:c r="L25" s="3" t="n">
        <x:v>2</x:v>
      </x:c>
      <x:c r="M25" s="3" t="n">
        <x:v>1</x:v>
      </x:c>
      <x:c r="N25" s="3" t="str">
        <x:v>Piano terra</x:v>
      </x:c>
      <x:c r="O25" s="3" t="str">
        <x:v>Buono stato</x:v>
      </x:c>
      <x:c r="P25" s="3" t="str">
        <x:v>N/D</x:v>
      </x:c>
      <x:c r="Q25" s="3" t="str">
        <x:v>No</x:v>
      </x:c>
      <x:c r="R25" s="3" t="str">
        <x:v>N/D</x:v>
      </x:c>
      <x:c r="S25" s="3" t="str">
        <x:v>N/D</x:v>
      </x:c>
      <x:c r="T25" s="3" t="str">
        <x:v>N/D</x:v>
      </x:c>
      <x:c r="U25" s="3" t="str">
        <x:v>N/D</x:v>
      </x:c>
      <x:c r="V25" s="3" t="str">
        <x:v>N/D</x:v>
      </x:c>
      <x:c r="W25" s="3" t="str">
        <x:v>N/D</x:v>
      </x:c>
      <x:c r="X25" s="9" t="str">
        <x:v>N/D</x:v>
      </x:c>
      <x:c r="Y25" s="3" t="str">
        <x:v>26 giugno</x:v>
      </x:c>
      <x:c r="Z25" s="3" t="str">
        <x:v>Aggiornamento senza anno esplicito</x:v>
      </x:c>
      <x:c r="AA25" s="3" t="str">
        <x:v>N/D</x:v>
      </x:c>
      <x:c r="AB25" s="9" t="n">
        <x:v>46270</x:v>
      </x:c>
      <x:c r="AC25" s="3" t="str">
        <x:v>Dettaglio annuncio</x:v>
      </x:c>
      <x:c r="AD25" s="3" t="str">
        <x:v>Prima pubblicazione non esposta. Prezzo richiesto; aggiornamento distinto dalla rilevazione.</x:v>
      </x:c>
      <x:c r="AE25" s="3" t="str">
        <x:v>N/D</x:v>
      </x:c>
      <x:c r="AF25" s="3" t="str">
        <x:v>Classe non leggibile nel testo disponibile</x:v>
      </x:c>
      <x:c r="AG25" s="9" t="n">
        <x:v>46270</x:v>
      </x:c>
    </x:row>
    <x:row r="26" ht="48" customHeight="1">
      <x:c r="A26" s="3" t="n">
        <x:v>225</x:v>
      </x:c>
      <x:c r="B26" s="3" t="n">
        <x:v>36191770</x:v>
      </x:c>
      <x:c r="C26" s="3" t="str">
        <x:v>Idealista</x:v>
      </x:c>
      <x:c r="D26" s="3" t="str">
        <x:v>Vendita</x:v>
      </x:c>
      <x:c r="E26" s="3" t="str">
        <x:v>Città Studi</x:v>
      </x:c>
      <x:c r="F26" s="3" t="str">
        <x:v>Via Beato Angelico, 1</x:v>
      </x:c>
      <x:c r="G26" s="3" t="str">
        <x:v>Bilocale</x:v>
      </x:c>
      <x:c r="H26" s="6" t="n">
        <x:v>350000</x:v>
      </x:c>
      <x:c r="I26" s="7" t="n">
        <x:v>40</x:v>
      </x:c>
      <x:c r="J26" s="8" t="n">
        <x:f>IF(D26="Vendita",H26/I26,"")</x:f>
        <x:v>8750</x:v>
      </x:c>
      <x:c r="K26" s="8" t="str">
        <x:f>IF(D26="Affitto",H26/I26,"")</x:f>
      </x:c>
      <x:c r="L26" s="3" t="n">
        <x:v>2</x:v>
      </x:c>
      <x:c r="M26" s="3" t="n">
        <x:v>1</x:v>
      </x:c>
      <x:c r="N26" s="3" t="str">
        <x:v>3º piano</x:v>
      </x:c>
      <x:c r="O26" s="3" t="str">
        <x:v>Buono stato</x:v>
      </x:c>
      <x:c r="P26" s="3" t="str">
        <x:v>N/D</x:v>
      </x:c>
      <x:c r="Q26" s="3" t="str">
        <x:v>Sì</x:v>
      </x:c>
      <x:c r="R26" s="3" t="str">
        <x:v>N/D</x:v>
      </x:c>
      <x:c r="S26" s="3" t="str">
        <x:v>N/D</x:v>
      </x:c>
      <x:c r="T26" s="3" t="str">
        <x:v>N/D</x:v>
      </x:c>
      <x:c r="U26" s="3" t="str">
        <x:v>N/D</x:v>
      </x:c>
      <x:c r="V26" s="3" t="str">
        <x:v>N/D</x:v>
      </x:c>
      <x:c r="W26" s="3" t="str">
        <x:v>N/D</x:v>
      </x:c>
      <x:c r="X26" s="9" t="str">
        <x:v>N/D</x:v>
      </x:c>
      <x:c r="Y26" s="3" t="str">
        <x:v>7 luglio</x:v>
      </x:c>
      <x:c r="Z26" s="3" t="str">
        <x:v>Aggiornamento senza anno esplicito</x:v>
      </x:c>
      <x:c r="AA26" s="3" t="str">
        <x:v>N/D</x:v>
      </x:c>
      <x:c r="AB26" s="9" t="n">
        <x:v>46270</x:v>
      </x:c>
      <x:c r="AC26" s="3" t="str">
        <x:v>Dettaglio annuncio</x:v>
      </x:c>
      <x:c r="AD26" s="3" t="str">
        <x:v>Prima pubblicazione non esposta. Prezzo richiesto; aggiornamento distinto dalla rilevazione.</x:v>
      </x:c>
      <x:c r="AE26" s="3" t="str">
        <x:v>E</x:v>
      </x:c>
      <x:c r="AF26" s="3" t="str">
        <x:v>Classe dichiarata</x:v>
      </x:c>
      <x:c r="AG26" s="9" t="n">
        <x:v>46270</x:v>
      </x:c>
    </x:row>
    <x:row r="27" ht="48" customHeight="1">
      <x:c r="A27" s="3" t="n">
        <x:v>226</x:v>
      </x:c>
      <x:c r="B27" s="3" t="n">
        <x:v>30347173</x:v>
      </x:c>
      <x:c r="C27" s="3" t="str">
        <x:v>Idealista</x:v>
      </x:c>
      <x:c r="D27" s="3" t="str">
        <x:v>Vendita</x:v>
      </x:c>
      <x:c r="E27" s="3" t="str">
        <x:v>Città Studi</x:v>
      </x:c>
      <x:c r="F27" s="3" t="str">
        <x:v>Via Giovanni Pacini, 38</x:v>
      </x:c>
      <x:c r="G27" s="3" t="str">
        <x:v>Trilocale</x:v>
      </x:c>
      <x:c r="H27" s="6" t="n">
        <x:v>690000</x:v>
      </x:c>
      <x:c r="I27" s="7" t="n">
        <x:v>136</x:v>
      </x:c>
      <x:c r="J27" s="8" t="n">
        <x:f>IF(D27="Vendita",H27/I27,"")</x:f>
        <x:v>5073.529411764706</x:v>
      </x:c>
      <x:c r="K27" s="8" t="str">
        <x:f>IF(D27="Affitto",H27/I27,"")</x:f>
      </x:c>
      <x:c r="L27" s="3" t="n">
        <x:v>3</x:v>
      </x:c>
      <x:c r="M27" s="3" t="n">
        <x:v>2</x:v>
      </x:c>
      <x:c r="N27" s="3" t="str">
        <x:v>5º piano</x:v>
      </x:c>
      <x:c r="O27" s="3" t="str">
        <x:v>Buono stato</x:v>
      </x:c>
      <x:c r="P27" s="3" t="str">
        <x:v>N/D</x:v>
      </x:c>
      <x:c r="Q27" s="3" t="str">
        <x:v>Sì</x:v>
      </x:c>
      <x:c r="R27" s="3" t="str">
        <x:v>Sì</x:v>
      </x:c>
      <x:c r="S27" s="3" t="str">
        <x:v>N/D</x:v>
      </x:c>
      <x:c r="T27" s="3" t="str">
        <x:v>N/D</x:v>
      </x:c>
      <x:c r="U27" s="3" t="str">
        <x:v>Sì</x:v>
      </x:c>
      <x:c r="V27" s="3" t="str">
        <x:v>N/D</x:v>
      </x:c>
      <x:c r="W27" s="3" t="str">
        <x:v>N/D</x:v>
      </x:c>
      <x:c r="X27" s="9" t="str">
        <x:v>N/D</x:v>
      </x:c>
      <x:c r="Y27" s="3" t="str">
        <x:v>26 giugno</x:v>
      </x:c>
      <x:c r="Z27" s="3" t="str">
        <x:v>Aggiornamento senza anno esplicito</x:v>
      </x:c>
      <x:c r="AA27" s="3" t="str">
        <x:v>N/D</x:v>
      </x:c>
      <x:c r="AB27" s="9" t="n">
        <x:v>46270</x:v>
      </x:c>
      <x:c r="AC27" s="3" t="str">
        <x:v>Dettaglio annuncio</x:v>
      </x:c>
      <x:c r="AD27" s="3" t="str">
        <x:v>Prima pubblicazione non esposta. Prezzo richiesto; aggiornamento distinto dalla rilevazione.</x:v>
      </x:c>
      <x:c r="AE27" s="3" t="str">
        <x:v>N/D</x:v>
      </x:c>
      <x:c r="AF27" s="3" t="str">
        <x:v>Classe non leggibile nel testo disponibile</x:v>
      </x:c>
      <x:c r="AG27" s="9" t="n">
        <x:v>46270</x:v>
      </x:c>
    </x:row>
    <x:row r="28" ht="48" customHeight="1">
      <x:c r="A28" s="3" t="n">
        <x:v>227</x:v>
      </x:c>
      <x:c r="B28" s="3" t="n">
        <x:v>36308281</x:v>
      </x:c>
      <x:c r="C28" s="3" t="str">
        <x:v>Idealista</x:v>
      </x:c>
      <x:c r="D28" s="3" t="str">
        <x:v>Vendita</x:v>
      </x:c>
      <x:c r="E28" s="3" t="str">
        <x:v>Città Studi</x:v>
      </x:c>
      <x:c r="F28" s="3" t="str">
        <x:v>Via Giuseppe Bardelli, 4</x:v>
      </x:c>
      <x:c r="G28" s="3" t="str">
        <x:v>Appartamento</x:v>
      </x:c>
      <x:c r="H28" s="6" t="n">
        <x:v>1000000</x:v>
      </x:c>
      <x:c r="I28" s="7" t="n">
        <x:v>193</x:v>
      </x:c>
      <x:c r="J28" s="8" t="n">
        <x:f>IF(D28="Vendita",H28/I28,"")</x:f>
        <x:v>5181.347150259067</x:v>
      </x:c>
      <x:c r="K28" s="8" t="str">
        <x:f>IF(D28="Affitto",H28/I28,"")</x:f>
      </x:c>
      <x:c r="L28" s="3" t="n">
        <x:v>5</x:v>
      </x:c>
      <x:c r="M28" s="3" t="n">
        <x:v>2</x:v>
      </x:c>
      <x:c r="N28" s="3" t="str">
        <x:v>3º piano</x:v>
      </x:c>
      <x:c r="O28" s="3" t="str">
        <x:v>Buono stato</x:v>
      </x:c>
      <x:c r="P28" s="3" t="str">
        <x:v>N/D</x:v>
      </x:c>
      <x:c r="Q28" s="3" t="str">
        <x:v>Sì</x:v>
      </x:c>
      <x:c r="R28" s="3" t="str">
        <x:v>Sì</x:v>
      </x:c>
      <x:c r="S28" s="3" t="str">
        <x:v>N/D</x:v>
      </x:c>
      <x:c r="T28" s="3" t="str">
        <x:v>N/D</x:v>
      </x:c>
      <x:c r="U28" s="3" t="str">
        <x:v>Sì</x:v>
      </x:c>
      <x:c r="V28" s="3" t="str">
        <x:v>N/D</x:v>
      </x:c>
      <x:c r="W28" s="3" t="str">
        <x:v>N/D</x:v>
      </x:c>
      <x:c r="X28" s="9" t="str">
        <x:v>N/D</x:v>
      </x:c>
      <x:c r="Y28" s="3" t="str">
        <x:v>22 luglio</x:v>
      </x:c>
      <x:c r="Z28" s="3" t="str">
        <x:v>Aggiornamento senza anno esplicito</x:v>
      </x:c>
      <x:c r="AA28" s="3" t="str">
        <x:v>N/D</x:v>
      </x:c>
      <x:c r="AB28" s="9" t="n">
        <x:v>46270</x:v>
      </x:c>
      <x:c r="AC28" s="3" t="str">
        <x:v>Dettaglio annuncio</x:v>
      </x:c>
      <x:c r="AD28" s="3" t="str">
        <x:v>Prima pubblicazione non esposta. Prezzo richiesto; aggiornamento distinto dalla rilevazione.</x:v>
      </x:c>
      <x:c r="AE28" s="3" t="str">
        <x:v>N/D</x:v>
      </x:c>
      <x:c r="AF28" s="3" t="str">
        <x:v>Classe non leggibile nel testo disponibile</x:v>
      </x:c>
      <x:c r="AG28" s="9" t="n">
        <x:v>46270</x:v>
      </x:c>
    </x:row>
    <x:row r="29" ht="48" customHeight="1">
      <x:c r="A29" s="3" t="n">
        <x:v>228</x:v>
      </x:c>
      <x:c r="B29" s="3" t="n">
        <x:v>129781678</x:v>
      </x:c>
      <x:c r="C29" s="3" t="str">
        <x:v>Immobiliare.it</x:v>
      </x:c>
      <x:c r="D29" s="3" t="str">
        <x:v>Vendita</x:v>
      </x:c>
      <x:c r="E29" s="3" t="str">
        <x:v>Città Studi</x:v>
      </x:c>
      <x:c r="F29" s="3" t="str">
        <x:v>piazza Giovanni Giolitti</x:v>
      </x:c>
      <x:c r="G29" s="3" t="str">
        <x:v>Appartamento</x:v>
      </x:c>
      <x:c r="H29" s="6" t="n">
        <x:v>1100000</x:v>
      </x:c>
      <x:c r="I29" s="7" t="n">
        <x:v>177</x:v>
      </x:c>
      <x:c r="J29" s="8" t="n">
        <x:f>IF(D29="Vendita",H29/I29,"")</x:f>
        <x:v>6214.689265536723</x:v>
      </x:c>
      <x:c r="K29" s="8" t="str">
        <x:f>IF(D29="Affitto",H29/I29,"")</x:f>
      </x:c>
      <x:c r="L29" s="3" t="n">
        <x:v>5</x:v>
      </x:c>
      <x:c r="M29" s="3" t="n">
        <x:v>3</x:v>
      </x:c>
      <x:c r="N29" s="3" t="str">
        <x:v>2</x:v>
      </x:c>
      <x:c r="O29" s="3" t="str">
        <x:v>Da ristrutturare</x:v>
      </x:c>
      <x:c r="P29" s="3" t="str">
        <x:v>Lusso</x:v>
      </x:c>
      <x:c r="Q29" s="3" t="str">
        <x:v>Sì</x:v>
      </x:c>
      <x:c r="R29" s="3" t="str">
        <x:v>Sì</x:v>
      </x:c>
      <x:c r="S29" s="3" t="str">
        <x:v>No</x:v>
      </x:c>
      <x:c r="T29" s="3" t="str">
        <x:v>No</x:v>
      </x:c>
      <x:c r="U29" s="3" t="str">
        <x:v>Sì</x:v>
      </x:c>
      <x:c r="V29" s="3" t="str">
        <x:v>N/D</x:v>
      </x:c>
      <x:c r="W29" s="3" t="str">
        <x:v>N/D</x:v>
      </x:c>
      <x:c r="X29" s="9" t="n">
        <x:v>46234</x:v>
      </x:c>
      <x:c r="Y29" s="3" t="str">
        <x:v>N/D</x:v>
      </x:c>
      <x:c r="Z29" s="3" t="str">
        <x:v>Ultimo aggiornamento esposto</x:v>
      </x:c>
      <x:c r="AA29" s="3" t="str">
        <x:v>N/D</x:v>
      </x:c>
      <x:c r="AB29" s="9" t="n">
        <x:v>46270</x:v>
      </x:c>
      <x:c r="AC29" s="3" t="str">
        <x:v>Dettaglio annuncio</x:v>
      </x:c>
      <x:c r="AD29" s="3" t="str">
        <x:v>Prima pubblicazione non esposta. Prezzo richiesto; aggiornamento distinto dalla rilevazione.</x:v>
      </x:c>
      <x:c r="AE29" s="3" t="str">
        <x:v>F</x:v>
      </x:c>
      <x:c r="AF29" s="3" t="str">
        <x:v>Classe dichiarata</x:v>
      </x:c>
      <x:c r="AG29" s="9" t="n">
        <x:v>46270</x:v>
      </x:c>
    </x:row>
    <x:row r="30" ht="48" customHeight="1">
      <x:c r="A30" s="3" t="n">
        <x:v>229</x:v>
      </x:c>
      <x:c r="B30" s="3" t="n">
        <x:v>130942194</x:v>
      </x:c>
      <x:c r="C30" s="3" t="str">
        <x:v>Immobiliare.it</x:v>
      </x:c>
      <x:c r="D30" s="3" t="str">
        <x:v>Vendita</x:v>
      </x:c>
      <x:c r="E30" s="3" t="str">
        <x:v>Città Studi</x:v>
      </x:c>
      <x:c r="F30" s="3" t="str">
        <x:v>via Giovanni Pascoli 56</x:v>
      </x:c>
      <x:c r="G30" s="3" t="str">
        <x:v>Trilocale</x:v>
      </x:c>
      <x:c r="H30" s="6" t="n">
        <x:v>950000</x:v>
      </x:c>
      <x:c r="I30" s="7" t="n">
        <x:v>150</x:v>
      </x:c>
      <x:c r="J30" s="8" t="n">
        <x:f>IF(D30="Vendita",H30/I30,"")</x:f>
        <x:v>6333.333333333333</x:v>
      </x:c>
      <x:c r="K30" s="8" t="str">
        <x:f>IF(D30="Affitto",H30/I30,"")</x:f>
      </x:c>
      <x:c r="L30" s="3" t="n">
        <x:v>3</x:v>
      </x:c>
      <x:c r="M30" s="3" t="n">
        <x:v>2</x:v>
      </x:c>
      <x:c r="N30" s="3" t="str">
        <x:v>7</x:v>
      </x:c>
      <x:c r="O30" s="3" t="str">
        <x:v>Ottimo stato</x:v>
      </x:c>
      <x:c r="P30" s="3" t="str">
        <x:v>Lusso</x:v>
      </x:c>
      <x:c r="Q30" s="3" t="str">
        <x:v>Sì</x:v>
      </x:c>
      <x:c r="R30" s="3" t="str">
        <x:v>Sì</x:v>
      </x:c>
      <x:c r="S30" s="3" t="str">
        <x:v>No</x:v>
      </x:c>
      <x:c r="T30" s="3" t="str">
        <x:v>Parzialmente Arredato</x:v>
      </x:c>
      <x:c r="U30" s="3" t="str">
        <x:v>Sì</x:v>
      </x:c>
      <x:c r="V30" s="3" t="str">
        <x:v>N/D</x:v>
      </x:c>
      <x:c r="W30" s="3" t="str">
        <x:v>N/D</x:v>
      </x:c>
      <x:c r="X30" s="9" t="n">
        <x:v>46217</x:v>
      </x:c>
      <x:c r="Y30" s="3" t="str">
        <x:v>N/D</x:v>
      </x:c>
      <x:c r="Z30" s="3" t="str">
        <x:v>Ultimo aggiornamento esposto</x:v>
      </x:c>
      <x:c r="AA30" s="3" t="str">
        <x:v>N/D</x:v>
      </x:c>
      <x:c r="AB30" s="9" t="n">
        <x:v>46270</x:v>
      </x:c>
      <x:c r="AC30" s="3" t="str">
        <x:v>Dettaglio annuncio</x:v>
      </x:c>
      <x:c r="AD30" s="3" t="str">
        <x:v>Prima pubblicazione non esposta. Prezzo richiesto; aggiornamento distinto dalla rilevazione.</x:v>
      </x:c>
      <x:c r="AE30" s="3" t="str">
        <x:v>D</x:v>
      </x:c>
      <x:c r="AF30" s="3" t="str">
        <x:v>Classe dichiarata</x:v>
      </x:c>
      <x:c r="AG30" s="9" t="n">
        <x:v>46270</x:v>
      </x:c>
    </x:row>
    <x:row r="31" ht="48" customHeight="1">
      <x:c r="A31" s="3" t="n">
        <x:v>230</x:v>
      </x:c>
      <x:c r="B31" s="3" t="n">
        <x:v>127376255</x:v>
      </x:c>
      <x:c r="C31" s="3" t="str">
        <x:v>Immobiliare.it</x:v>
      </x:c>
      <x:c r="D31" s="3" t="str">
        <x:v>Vendita</x:v>
      </x:c>
      <x:c r="E31" s="3" t="str">
        <x:v>Città Studi</x:v>
      </x:c>
      <x:c r="F31" s="3" t="str">
        <x:v>via Giuseppe Colombo</x:v>
      </x:c>
      <x:c r="G31" s="3" t="str">
        <x:v>Villa a schiera</x:v>
      </x:c>
      <x:c r="H31" s="6" t="n">
        <x:v>1150000</x:v>
      </x:c>
      <x:c r="I31" s="7" t="n">
        <x:v>210</x:v>
      </x:c>
      <x:c r="J31" s="8" t="n">
        <x:f>IF(D31="Vendita",H31/I31,"")</x:f>
        <x:v>5476.190476190476</x:v>
      </x:c>
      <x:c r="K31" s="8" t="str">
        <x:f>IF(D31="Affitto",H31/I31,"")</x:f>
      </x:c>
      <x:c r="L31" s="3" t="n">
        <x:v>5</x:v>
      </x:c>
      <x:c r="M31" s="3" t="n">
        <x:v>2</x:v>
      </x:c>
      <x:c r="N31" s="3" t="str">
        <x:v>Piano terra</x:v>
      </x:c>
      <x:c r="O31" s="3" t="str">
        <x:v>Ottimo stato</x:v>
      </x:c>
      <x:c r="P31" s="3" t="str">
        <x:v>Lusso</x:v>
      </x:c>
      <x:c r="Q31" s="3" t="str">
        <x:v>No</x:v>
      </x:c>
      <x:c r="R31" s="3" t="str">
        <x:v>Sì</x:v>
      </x:c>
      <x:c r="S31" s="3" t="str">
        <x:v>No</x:v>
      </x:c>
      <x:c r="T31" s="3" t="str">
        <x:v>Parzialmente Arredato</x:v>
      </x:c>
      <x:c r="U31" s="3" t="str">
        <x:v>N/D</x:v>
      </x:c>
      <x:c r="V31" s="3" t="str">
        <x:v>N/D</x:v>
      </x:c>
      <x:c r="W31" s="3" t="str">
        <x:v>N/D</x:v>
      </x:c>
      <x:c r="X31" s="9" t="n">
        <x:v>46091</x:v>
      </x:c>
      <x:c r="Y31" s="3" t="str">
        <x:v>N/D</x:v>
      </x:c>
      <x:c r="Z31" s="3" t="str">
        <x:v>Ultimo aggiornamento esposto</x:v>
      </x:c>
      <x:c r="AA31" s="3" t="str">
        <x:v>N/D</x:v>
      </x:c>
      <x:c r="AB31" s="9" t="n">
        <x:v>46270</x:v>
      </x:c>
      <x:c r="AC31" s="3" t="str">
        <x:v>Dettaglio annuncio</x:v>
      </x:c>
      <x:c r="AD31" s="3" t="str">
        <x:v>Prima pubblicazione non esposta. Prezzo richiesto; aggiornamento distinto dalla rilevazione.</x:v>
      </x:c>
      <x:c r="AE31" s="3" t="str">
        <x:v>F</x:v>
      </x:c>
      <x:c r="AF31" s="3" t="str">
        <x:v>Classe dichiarata</x:v>
      </x:c>
      <x:c r="AG31" s="9" t="n">
        <x:v>46270</x:v>
      </x:c>
    </x:row>
    <x:row r="32" ht="48" customHeight="1">
      <x:c r="A32" s="3" t="n">
        <x:v>231</x:v>
      </x:c>
      <x:c r="B32" s="3" t="n">
        <x:v>123827283</x:v>
      </x:c>
      <x:c r="C32" s="3" t="str">
        <x:v>Immobiliare.it</x:v>
      </x:c>
      <x:c r="D32" s="3" t="str">
        <x:v>Vendita</x:v>
      </x:c>
      <x:c r="E32" s="3" t="str">
        <x:v>Zara</x:v>
      </x:c>
      <x:c r="F32" s="3" t="str">
        <x:v>piazzale Segrino 5</x:v>
      </x:c>
      <x:c r="G32" s="3" t="str">
        <x:v>Bilocale</x:v>
      </x:c>
      <x:c r="H32" s="6" t="n">
        <x:v>410000</x:v>
      </x:c>
      <x:c r="I32" s="7" t="n">
        <x:v>80</x:v>
      </x:c>
      <x:c r="J32" s="8" t="n">
        <x:f>IF(D32="Vendita",H32/I32,"")</x:f>
        <x:v>5125</x:v>
      </x:c>
      <x:c r="K32" s="8" t="str">
        <x:f>IF(D32="Affitto",H32/I32,"")</x:f>
      </x:c>
      <x:c r="L32" s="3" t="n">
        <x:v>2</x:v>
      </x:c>
      <x:c r="M32" s="3" t="n">
        <x:v>1</x:v>
      </x:c>
      <x:c r="N32" s="3" t="str">
        <x:v>Piano rialzato</x:v>
      </x:c>
      <x:c r="O32" s="3" t="str">
        <x:v>Da ristrutturare</x:v>
      </x:c>
      <x:c r="P32" s="3" t="str">
        <x:v>N/D</x:v>
      </x:c>
      <x:c r="Q32" s="3" t="str">
        <x:v>Sì</x:v>
      </x:c>
      <x:c r="R32" s="3" t="str">
        <x:v>No</x:v>
      </x:c>
      <x:c r="S32" s="3" t="str">
        <x:v>No</x:v>
      </x:c>
      <x:c r="T32" s="3" t="str">
        <x:v>N/D</x:v>
      </x:c>
      <x:c r="U32" s="3" t="str">
        <x:v>Sì</x:v>
      </x:c>
      <x:c r="V32" s="3" t="str">
        <x:v>N/D</x:v>
      </x:c>
      <x:c r="W32" s="3" t="str">
        <x:v>N/D</x:v>
      </x:c>
      <x:c r="X32" s="9" t="n">
        <x:v>45944</x:v>
      </x:c>
      <x:c r="Y32" s="3" t="str">
        <x:v>N/D</x:v>
      </x:c>
      <x:c r="Z32" s="3" t="str">
        <x:v>Ultimo aggiornamento esposto</x:v>
      </x:c>
      <x:c r="AA32" s="3" t="str">
        <x:v>N/D</x:v>
      </x:c>
      <x:c r="AB32" s="9" t="n">
        <x:v>46270</x:v>
      </x:c>
      <x:c r="AC32" s="3" t="str">
        <x:v>Dettaglio annuncio</x:v>
      </x:c>
      <x:c r="AD32" s="3" t="str">
        <x:v>Prima pubblicazione non esposta. Prezzo richiesto; aggiornamento distinto dalla rilevazione.</x:v>
      </x:c>
      <x:c r="AE32" s="3" t="str">
        <x:v>G</x:v>
      </x:c>
      <x:c r="AF32" s="3" t="str">
        <x:v>Classe dichiarata</x:v>
      </x:c>
      <x:c r="AG32" s="9" t="n">
        <x:v>46270</x:v>
      </x:c>
    </x:row>
    <x:row r="33" ht="48" customHeight="1">
      <x:c r="A33" s="3" t="n">
        <x:v>232</x:v>
      </x:c>
      <x:c r="B33" s="3" t="n">
        <x:v>130675258</x:v>
      </x:c>
      <x:c r="C33" s="3" t="str">
        <x:v>Immobiliare.it</x:v>
      </x:c>
      <x:c r="D33" s="3" t="str">
        <x:v>Vendita</x:v>
      </x:c>
      <x:c r="E33" s="3" t="str">
        <x:v>Zara</x:v>
      </x:c>
      <x:c r="F33" s="3" t="str">
        <x:v>via Abbadesse 46</x:v>
      </x:c>
      <x:c r="G33" s="3" t="str">
        <x:v>Bilocale</x:v>
      </x:c>
      <x:c r="H33" s="6" t="n">
        <x:v>528000</x:v>
      </x:c>
      <x:c r="I33" s="7" t="n">
        <x:v>50</x:v>
      </x:c>
      <x:c r="J33" s="8" t="n">
        <x:f>IF(D33="Vendita",H33/I33,"")</x:f>
        <x:v>10560</x:v>
      </x:c>
      <x:c r="K33" s="8" t="str">
        <x:f>IF(D33="Affitto",H33/I33,"")</x:f>
      </x:c>
      <x:c r="L33" s="3" t="n">
        <x:v>2</x:v>
      </x:c>
      <x:c r="M33" s="3" t="n">
        <x:v>1</x:v>
      </x:c>
      <x:c r="N33" s="3" t="str">
        <x:v>4</x:v>
      </x:c>
      <x:c r="O33" s="3" t="str">
        <x:v>Nuovo</x:v>
      </x:c>
      <x:c r="P33" s="3" t="str">
        <x:v>Lusso</x:v>
      </x:c>
      <x:c r="Q33" s="3" t="str">
        <x:v>Sì</x:v>
      </x:c>
      <x:c r="R33" s="3" t="str">
        <x:v>No</x:v>
      </x:c>
      <x:c r="S33" s="3" t="str">
        <x:v>No</x:v>
      </x:c>
      <x:c r="T33" s="3" t="str">
        <x:v>Sì</x:v>
      </x:c>
      <x:c r="U33" s="3" t="str">
        <x:v>N/D</x:v>
      </x:c>
      <x:c r="V33" s="3" t="str">
        <x:v>N/D</x:v>
      </x:c>
      <x:c r="W33" s="3" t="str">
        <x:v>N/D</x:v>
      </x:c>
      <x:c r="X33" s="9" t="n">
        <x:v>46210</x:v>
      </x:c>
      <x:c r="Y33" s="3" t="str">
        <x:v>N/D</x:v>
      </x:c>
      <x:c r="Z33" s="3" t="str">
        <x:v>Ultimo aggiornamento esposto</x:v>
      </x:c>
      <x:c r="AA33" s="3" t="str">
        <x:v>N/D</x:v>
      </x:c>
      <x:c r="AB33" s="9" t="n">
        <x:v>46270</x:v>
      </x:c>
      <x:c r="AC33" s="3" t="str">
        <x:v>Dettaglio annuncio</x:v>
      </x:c>
      <x:c r="AD33" s="3" t="str">
        <x:v>Prima pubblicazione non esposta. Prezzo richiesto; aggiornamento distinto dalla rilevazione.</x:v>
      </x:c>
      <x:c r="AE33" s="3" t="str">
        <x:v>A</x:v>
      </x:c>
      <x:c r="AF33" s="3" t="str">
        <x:v>Classe dichiarata</x:v>
      </x:c>
      <x:c r="AG33" s="9" t="n">
        <x:v>46270</x:v>
      </x:c>
    </x:row>
    <x:row r="34" ht="48" customHeight="1">
      <x:c r="A34" s="3" t="n">
        <x:v>233</x:v>
      </x:c>
      <x:c r="B34" s="3" t="n">
        <x:v>130091912</x:v>
      </x:c>
      <x:c r="C34" s="3" t="str">
        <x:v>Immobiliare.it</x:v>
      </x:c>
      <x:c r="D34" s="3" t="str">
        <x:v>Vendita</x:v>
      </x:c>
      <x:c r="E34" s="3" t="str">
        <x:v>Zara</x:v>
      </x:c>
      <x:c r="F34" s="3" t="str">
        <x:v>via Lario 14</x:v>
      </x:c>
      <x:c r="G34" s="3" t="str">
        <x:v>Bilocale</x:v>
      </x:c>
      <x:c r="H34" s="6" t="n">
        <x:v>340000</x:v>
      </x:c>
      <x:c r="I34" s="7" t="n">
        <x:v>50</x:v>
      </x:c>
      <x:c r="J34" s="8" t="n">
        <x:f>IF(D34="Vendita",H34/I34,"")</x:f>
        <x:v>6800</x:v>
      </x:c>
      <x:c r="K34" s="8" t="str">
        <x:f>IF(D34="Affitto",H34/I34,"")</x:f>
      </x:c>
      <x:c r="L34" s="3" t="n">
        <x:v>2</x:v>
      </x:c>
      <x:c r="M34" s="3" t="n">
        <x:v>1</x:v>
      </x:c>
      <x:c r="N34" s="3" t="str">
        <x:v>2</x:v>
      </x:c>
      <x:c r="O34" s="3" t="str">
        <x:v>Ottimo stato</x:v>
      </x:c>
      <x:c r="P34" s="3" t="str">
        <x:v>N/D</x:v>
      </x:c>
      <x:c r="Q34" s="3" t="str">
        <x:v>Sì</x:v>
      </x:c>
      <x:c r="R34" s="3" t="str">
        <x:v>Sì</x:v>
      </x:c>
      <x:c r="S34" s="3" t="str">
        <x:v>No</x:v>
      </x:c>
      <x:c r="T34" s="3" t="str">
        <x:v>Sì</x:v>
      </x:c>
      <x:c r="U34" s="3" t="str">
        <x:v>N/D</x:v>
      </x:c>
      <x:c r="V34" s="3" t="str">
        <x:v>N/D</x:v>
      </x:c>
      <x:c r="W34" s="3" t="str">
        <x:v>N/D</x:v>
      </x:c>
      <x:c r="X34" s="9" t="n">
        <x:v>46263</x:v>
      </x:c>
      <x:c r="Y34" s="3" t="str">
        <x:v>N/D</x:v>
      </x:c>
      <x:c r="Z34" s="3" t="str">
        <x:v>Ultimo aggiornamento esposto</x:v>
      </x:c>
      <x:c r="AA34" s="3" t="str">
        <x:v>N/D</x:v>
      </x:c>
      <x:c r="AB34" s="9" t="n">
        <x:v>46270</x:v>
      </x:c>
      <x:c r="AC34" s="3" t="str">
        <x:v>Dettaglio annuncio</x:v>
      </x:c>
      <x:c r="AD34" s="3" t="str">
        <x:v>Prima pubblicazione non esposta. Prezzo richiesto; aggiornamento distinto dalla rilevazione.</x:v>
      </x:c>
      <x:c r="AE34" s="3" t="str">
        <x:v>E</x:v>
      </x:c>
      <x:c r="AF34" s="3" t="str">
        <x:v>Classe dichiarata</x:v>
      </x:c>
      <x:c r="AG34" s="9" t="n">
        <x:v>46270</x:v>
      </x:c>
    </x:row>
    <x:row r="35" ht="48" customHeight="1">
      <x:c r="A35" s="3" t="n">
        <x:v>234</x:v>
      </x:c>
      <x:c r="B35" s="3" t="n">
        <x:v>131613290</x:v>
      </x:c>
      <x:c r="C35" s="3" t="str">
        <x:v>Immobiliare.it</x:v>
      </x:c>
      <x:c r="D35" s="3" t="str">
        <x:v>Vendita</x:v>
      </x:c>
      <x:c r="E35" s="3" t="str">
        <x:v>Zara</x:v>
      </x:c>
      <x:c r="F35" s="3" t="str">
        <x:v>via Lario 8</x:v>
      </x:c>
      <x:c r="G35" s="3" t="str">
        <x:v>Trilocale</x:v>
      </x:c>
      <x:c r="H35" s="6" t="n">
        <x:v>370000</x:v>
      </x:c>
      <x:c r="I35" s="7" t="n">
        <x:v>65</x:v>
      </x:c>
      <x:c r="J35" s="8" t="n">
        <x:f>IF(D35="Vendita",H35/I35,"")</x:f>
        <x:v>5692.307692307692</x:v>
      </x:c>
      <x:c r="K35" s="8" t="str">
        <x:f>IF(D35="Affitto",H35/I35,"")</x:f>
      </x:c>
      <x:c r="L35" s="3" t="n">
        <x:v>3</x:v>
      </x:c>
      <x:c r="M35" s="3" t="n">
        <x:v>1</x:v>
      </x:c>
      <x:c r="N35" s="3" t="str">
        <x:v>Piano rialzato</x:v>
      </x:c>
      <x:c r="O35" s="3" t="str">
        <x:v>Buono stato</x:v>
      </x:c>
      <x:c r="P35" s="3" t="str">
        <x:v>N/D</x:v>
      </x:c>
      <x:c r="Q35" s="3" t="str">
        <x:v>Sì</x:v>
      </x:c>
      <x:c r="R35" s="3" t="str">
        <x:v>Sì</x:v>
      </x:c>
      <x:c r="S35" s="3" t="str">
        <x:v>No</x:v>
      </x:c>
      <x:c r="T35" s="3" t="str">
        <x:v>No</x:v>
      </x:c>
      <x:c r="U35" s="3" t="str">
        <x:v>Sì</x:v>
      </x:c>
      <x:c r="V35" s="3" t="str">
        <x:v>N/D</x:v>
      </x:c>
      <x:c r="W35" s="3" t="str">
        <x:v>N/D</x:v>
      </x:c>
      <x:c r="X35" s="9" t="n">
        <x:v>46241</x:v>
      </x:c>
      <x:c r="Y35" s="3" t="str">
        <x:v>N/D</x:v>
      </x:c>
      <x:c r="Z35" s="3" t="str">
        <x:v>Ultimo aggiornamento esposto</x:v>
      </x:c>
      <x:c r="AA35" s="3" t="str">
        <x:v>N/D</x:v>
      </x:c>
      <x:c r="AB35" s="9" t="n">
        <x:v>46270</x:v>
      </x:c>
      <x:c r="AC35" s="3" t="str">
        <x:v>Dettaglio annuncio</x:v>
      </x:c>
      <x:c r="AD35" s="3" t="str">
        <x:v>Prima pubblicazione non esposta. Prezzo richiesto; aggiornamento distinto dalla rilevazione.</x:v>
      </x:c>
      <x:c r="AE35" s="3" t="str">
        <x:v>F</x:v>
      </x:c>
      <x:c r="AF35" s="3" t="str">
        <x:v>Classe dichiarata</x:v>
      </x:c>
      <x:c r="AG35" s="9" t="n">
        <x:v>46270</x:v>
      </x:c>
    </x:row>
    <x:row r="36" ht="48" customHeight="1">
      <x:c r="A36" s="3" t="n">
        <x:v>235</x:v>
      </x:c>
      <x:c r="B36" s="3" t="n">
        <x:v>127893552</x:v>
      </x:c>
      <x:c r="C36" s="3" t="str">
        <x:v>Immobiliare.it</x:v>
      </x:c>
      <x:c r="D36" s="3" t="str">
        <x:v>Vendita</x:v>
      </x:c>
      <x:c r="E36" s="3" t="str">
        <x:v>Zara</x:v>
      </x:c>
      <x:c r="F36" s="3" t="str">
        <x:v>via Monte Cristallo, 3</x:v>
      </x:c>
      <x:c r="G36" s="3" t="str">
        <x:v>Bilocale</x:v>
      </x:c>
      <x:c r="H36" s="6" t="n">
        <x:v>255000</x:v>
      </x:c>
      <x:c r="I36" s="7" t="n">
        <x:v>56</x:v>
      </x:c>
      <x:c r="J36" s="8" t="n">
        <x:f>IF(D36="Vendita",H36/I36,"")</x:f>
        <x:v>4553.571428571428</x:v>
      </x:c>
      <x:c r="K36" s="8" t="str">
        <x:f>IF(D36="Affitto",H36/I36,"")</x:f>
      </x:c>
      <x:c r="L36" s="3" t="n">
        <x:v>2</x:v>
      </x:c>
      <x:c r="M36" s="3" t="n">
        <x:v>1</x:v>
      </x:c>
      <x:c r="N36" s="3" t="str">
        <x:v>Piano terra</x:v>
      </x:c>
      <x:c r="O36" s="3" t="str">
        <x:v>Ottimo stato</x:v>
      </x:c>
      <x:c r="P36" s="3" t="str">
        <x:v>N/D</x:v>
      </x:c>
      <x:c r="Q36" s="3" t="str">
        <x:v>No</x:v>
      </x:c>
      <x:c r="R36" s="3" t="str">
        <x:v>No</x:v>
      </x:c>
      <x:c r="S36" s="3" t="str">
        <x:v>No</x:v>
      </x:c>
      <x:c r="T36" s="3" t="str">
        <x:v>Sì</x:v>
      </x:c>
      <x:c r="U36" s="3" t="str">
        <x:v>N/D</x:v>
      </x:c>
      <x:c r="V36" s="3" t="str">
        <x:v>N/D</x:v>
      </x:c>
      <x:c r="W36" s="3" t="str">
        <x:v>N/D</x:v>
      </x:c>
      <x:c r="X36" s="9" t="n">
        <x:v>46132</x:v>
      </x:c>
      <x:c r="Y36" s="3" t="str">
        <x:v>N/D</x:v>
      </x:c>
      <x:c r="Z36" s="3" t="str">
        <x:v>Ultimo aggiornamento esposto</x:v>
      </x:c>
      <x:c r="AA36" s="3" t="str">
        <x:v>N/D</x:v>
      </x:c>
      <x:c r="AB36" s="9" t="n">
        <x:v>46270</x:v>
      </x:c>
      <x:c r="AC36" s="3" t="str">
        <x:v>Dettaglio annuncio</x:v>
      </x:c>
      <x:c r="AD36" s="3" t="str">
        <x:v>Prima pubblicazione non esposta. Prezzo richiesto; aggiornamento distinto dalla rilevazione.</x:v>
      </x:c>
      <x:c r="AE36" s="3" t="str">
        <x:v>G</x:v>
      </x:c>
      <x:c r="AF36" s="3" t="str">
        <x:v>Classe dichiarata</x:v>
      </x:c>
      <x:c r="AG36" s="9" t="n">
        <x:v>46270</x:v>
      </x:c>
    </x:row>
    <x:row r="37" ht="48" customHeight="1">
      <x:c r="A37" s="3" t="n">
        <x:v>236</x:v>
      </x:c>
      <x:c r="B37" s="3" t="n">
        <x:v>131638280</x:v>
      </x:c>
      <x:c r="C37" s="3" t="str">
        <x:v>Immobiliare.it</x:v>
      </x:c>
      <x:c r="D37" s="3" t="str">
        <x:v>Vendita</x:v>
      </x:c>
      <x:c r="E37" s="3" t="str">
        <x:v>Zara</x:v>
      </x:c>
      <x:c r="F37" s="3" t="str">
        <x:v>via Torquato Taramelli 5</x:v>
      </x:c>
      <x:c r="G37" s="3" t="str">
        <x:v>Villa unifamiliare</x:v>
      </x:c>
      <x:c r="H37" s="6" t="n">
        <x:v>1295000</x:v>
      </x:c>
      <x:c r="I37" s="7" t="n">
        <x:v>200</x:v>
      </x:c>
      <x:c r="J37" s="8" t="n">
        <x:f>IF(D37="Vendita",H37/I37,"")</x:f>
        <x:v>6475</x:v>
      </x:c>
      <x:c r="K37" s="8" t="str">
        <x:f>IF(D37="Affitto",H37/I37,"")</x:f>
      </x:c>
      <x:c r="L37" s="3" t="str">
        <x:v>5+</x:v>
      </x:c>
      <x:c r="M37" s="3" t="str">
        <x:v>3+</x:v>
      </x:c>
      <x:c r="N37" s="3" t="str">
        <x:v>1</x:v>
      </x:c>
      <x:c r="O37" s="3" t="str">
        <x:v>Buono stato</x:v>
      </x:c>
      <x:c r="P37" s="3" t="str">
        <x:v>N/D</x:v>
      </x:c>
      <x:c r="Q37" s="3" t="str">
        <x:v>No</x:v>
      </x:c>
      <x:c r="R37" s="3" t="str">
        <x:v>Sì</x:v>
      </x:c>
      <x:c r="S37" s="3" t="str">
        <x:v>No</x:v>
      </x:c>
      <x:c r="T37" s="3" t="str">
        <x:v>Parzialmente Arredato</x:v>
      </x:c>
      <x:c r="U37" s="3" t="str">
        <x:v>Sì</x:v>
      </x:c>
      <x:c r="V37" s="3" t="str">
        <x:v>2 in box privato/box in garage, 2 posto auto</x:v>
      </x:c>
      <x:c r="W37" s="3" t="str">
        <x:v>N/D</x:v>
      </x:c>
      <x:c r="X37" s="9" t="n">
        <x:v>46259</x:v>
      </x:c>
      <x:c r="Y37" s="3" t="str">
        <x:v>N/D</x:v>
      </x:c>
      <x:c r="Z37" s="3" t="str">
        <x:v>Ultimo aggiornamento esposto</x:v>
      </x:c>
      <x:c r="AA37" s="3" t="str">
        <x:v>N/D</x:v>
      </x:c>
      <x:c r="AB37" s="9" t="n">
        <x:v>46270</x:v>
      </x:c>
      <x:c r="AC37" s="3" t="str">
        <x:v>Dettaglio annuncio</x:v>
      </x:c>
      <x:c r="AD37" s="3" t="str">
        <x:v>Prima pubblicazione non esposta. Prezzo richiesto; aggiornamento distinto dalla rilevazione.</x:v>
      </x:c>
      <x:c r="AE37" s="3" t="str">
        <x:v>G</x:v>
      </x:c>
      <x:c r="AF37" s="3" t="str">
        <x:v>Classe dichiarata</x:v>
      </x:c>
      <x:c r="AG37" s="9" t="n">
        <x:v>46270</x:v>
      </x:c>
    </x:row>
    <x:row r="38" ht="48" customHeight="1">
      <x:c r="A38" s="3" t="n">
        <x:v>237</x:v>
      </x:c>
      <x:c r="B38" s="3" t="n">
        <x:v>129885794</x:v>
      </x:c>
      <x:c r="C38" s="3" t="str">
        <x:v>Immobiliare.it</x:v>
      </x:c>
      <x:c r="D38" s="3" t="str">
        <x:v>Vendita</x:v>
      </x:c>
      <x:c r="E38" s="3" t="str">
        <x:v>Baggio</x:v>
      </x:c>
      <x:c r="F38" s="3" t="str">
        <x:v>via Quinto Romano 22</x:v>
      </x:c>
      <x:c r="G38" s="3" t="str">
        <x:v>Appartamento in villa</x:v>
      </x:c>
      <x:c r="H38" s="6" t="n">
        <x:v>450000</x:v>
      </x:c>
      <x:c r="I38" s="7" t="n">
        <x:v>160</x:v>
      </x:c>
      <x:c r="J38" s="8" t="n">
        <x:f>IF(D38="Vendita",H38/I38,"")</x:f>
        <x:v>2812.5</x:v>
      </x:c>
      <x:c r="K38" s="8" t="str">
        <x:f>IF(D38="Affitto",H38/I38,"")</x:f>
      </x:c>
      <x:c r="L38" s="3" t="n">
        <x:v>4</x:v>
      </x:c>
      <x:c r="M38" s="3" t="n">
        <x:v>2</x:v>
      </x:c>
      <x:c r="N38" s="3" t="str">
        <x:v>Da seminterrato a ammezzato, 1</x:v>
      </x:c>
      <x:c r="O38" s="3" t="str">
        <x:v>Ottimo stato</x:v>
      </x:c>
      <x:c r="P38" s="3" t="str">
        <x:v>N/D</x:v>
      </x:c>
      <x:c r="Q38" s="3" t="str">
        <x:v>No</x:v>
      </x:c>
      <x:c r="R38" s="3" t="str">
        <x:v>Sì</x:v>
      </x:c>
      <x:c r="S38" s="3" t="str">
        <x:v>Sì</x:v>
      </x:c>
      <x:c r="T38" s="3" t="str">
        <x:v>N/D</x:v>
      </x:c>
      <x:c r="U38" s="3" t="str">
        <x:v>Sì</x:v>
      </x:c>
      <x:c r="V38" s="3" t="str">
        <x:v>1 in box privato/box in garage</x:v>
      </x:c>
      <x:c r="W38" s="3" t="str">
        <x:v>N/D</x:v>
      </x:c>
      <x:c r="X38" s="9" t="n">
        <x:v>46213</x:v>
      </x:c>
      <x:c r="Y38" s="3" t="str">
        <x:v>N/D</x:v>
      </x:c>
      <x:c r="Z38" s="3" t="str">
        <x:v>Ultimo aggiornamento esposto</x:v>
      </x:c>
      <x:c r="AA38" s="3" t="str">
        <x:v>N/D</x:v>
      </x:c>
      <x:c r="AB38" s="9" t="n">
        <x:v>46270</x:v>
      </x:c>
      <x:c r="AC38" s="3" t="str">
        <x:v>Dettaglio annuncio</x:v>
      </x:c>
      <x:c r="AD38" s="3" t="str">
        <x:v>Prima pubblicazione non esposta. Prezzo richiesto; aggiornamento distinto dalla rilevazione.</x:v>
      </x:c>
      <x:c r="AE38" s="3" t="str">
        <x:v>E</x:v>
      </x:c>
      <x:c r="AF38" s="3" t="str">
        <x:v>Classe dichiarata</x:v>
      </x:c>
      <x:c r="AG38" s="9" t="n">
        <x:v>46270</x:v>
      </x:c>
    </x:row>
    <x:row r="39" ht="48" customHeight="1">
      <x:c r="A39" s="3" t="n">
        <x:v>238</x:v>
      </x:c>
      <x:c r="B39" s="3" t="n">
        <x:v>129983512</x:v>
      </x:c>
      <x:c r="C39" s="3" t="str">
        <x:v>Immobiliare.it</x:v>
      </x:c>
      <x:c r="D39" s="3" t="str">
        <x:v>Vendita</x:v>
      </x:c>
      <x:c r="E39" s="3" t="str">
        <x:v>Baggio</x:v>
      </x:c>
      <x:c r="F39" s="3" t="str">
        <x:v>via Capri 6</x:v>
      </x:c>
      <x:c r="G39" s="3" t="str">
        <x:v>Bilocale</x:v>
      </x:c>
      <x:c r="H39" s="6" t="n">
        <x:v>149000</x:v>
      </x:c>
      <x:c r="I39" s="7" t="n">
        <x:v>39</x:v>
      </x:c>
      <x:c r="J39" s="8" t="n">
        <x:f>IF(D39="Vendita",H39/I39,"")</x:f>
        <x:v>3820.5128205128203</x:v>
      </x:c>
      <x:c r="K39" s="8" t="str">
        <x:f>IF(D39="Affitto",H39/I39,"")</x:f>
      </x:c>
      <x:c r="L39" s="3" t="n">
        <x:v>2</x:v>
      </x:c>
      <x:c r="M39" s="3" t="n">
        <x:v>1</x:v>
      </x:c>
      <x:c r="N39" s="3" t="str">
        <x:v>Piano terra</x:v>
      </x:c>
      <x:c r="O39" s="3" t="str">
        <x:v>Ottimo stato</x:v>
      </x:c>
      <x:c r="P39" s="3" t="str">
        <x:v>N/D</x:v>
      </x:c>
      <x:c r="Q39" s="3" t="str">
        <x:v>No</x:v>
      </x:c>
      <x:c r="R39" s="3" t="str">
        <x:v>No</x:v>
      </x:c>
      <x:c r="S39" s="3" t="str">
        <x:v>No</x:v>
      </x:c>
      <x:c r="T39" s="3" t="str">
        <x:v>No</x:v>
      </x:c>
      <x:c r="U39" s="3" t="str">
        <x:v>N/D</x:v>
      </x:c>
      <x:c r="V39" s="3" t="str">
        <x:v>1 posto auto</x:v>
      </x:c>
      <x:c r="W39" s="3" t="str">
        <x:v>N/D</x:v>
      </x:c>
      <x:c r="X39" s="9" t="n">
        <x:v>46258</x:v>
      </x:c>
      <x:c r="Y39" s="3" t="str">
        <x:v>N/D</x:v>
      </x:c>
      <x:c r="Z39" s="3" t="str">
        <x:v>Ultimo aggiornamento esposto</x:v>
      </x:c>
      <x:c r="AA39" s="3" t="str">
        <x:v>N/D</x:v>
      </x:c>
      <x:c r="AB39" s="9" t="n">
        <x:v>46270</x:v>
      </x:c>
      <x:c r="AC39" s="3" t="str">
        <x:v>Dettaglio annuncio</x:v>
      </x:c>
      <x:c r="AD39" s="3" t="str">
        <x:v>Prima pubblicazione non esposta. Prezzo richiesto; aggiornamento distinto dalla rilevazione.</x:v>
      </x:c>
      <x:c r="AE39" s="3" t="str">
        <x:v>B</x:v>
      </x:c>
      <x:c r="AF39" s="3" t="str">
        <x:v>Classe dichiarata</x:v>
      </x:c>
      <x:c r="AG39" s="9" t="n">
        <x:v>46270</x:v>
      </x:c>
    </x:row>
    <x:row r="40" ht="48" customHeight="1">
      <x:c r="A40" s="3" t="n">
        <x:v>239</x:v>
      </x:c>
      <x:c r="B40" s="3" t="n">
        <x:v>130328700</x:v>
      </x:c>
      <x:c r="C40" s="3" t="str">
        <x:v>Immobiliare.it</x:v>
      </x:c>
      <x:c r="D40" s="3" t="str">
        <x:v>Vendita</x:v>
      </x:c>
      <x:c r="E40" s="3" t="str">
        <x:v>Baggio</x:v>
      </x:c>
      <x:c r="F40" s="3" t="str">
        <x:v>via Capri 9</x:v>
      </x:c>
      <x:c r="G40" s="3" t="str">
        <x:v>Bilocale</x:v>
      </x:c>
      <x:c r="H40" s="6" t="n">
        <x:v>168000</x:v>
      </x:c>
      <x:c r="I40" s="7" t="n">
        <x:v>51</x:v>
      </x:c>
      <x:c r="J40" s="8" t="n">
        <x:f>IF(D40="Vendita",H40/I40,"")</x:f>
        <x:v>3294.1176470588234</x:v>
      </x:c>
      <x:c r="K40" s="8" t="str">
        <x:f>IF(D40="Affitto",H40/I40,"")</x:f>
      </x:c>
      <x:c r="L40" s="3" t="n">
        <x:v>2</x:v>
      </x:c>
      <x:c r="M40" s="3" t="n">
        <x:v>1</x:v>
      </x:c>
      <x:c r="N40" s="3" t="str">
        <x:v>Piano rialzato</x:v>
      </x:c>
      <x:c r="O40" s="3" t="str">
        <x:v>Ottimo stato</x:v>
      </x:c>
      <x:c r="P40" s="3" t="str">
        <x:v>N/D</x:v>
      </x:c>
      <x:c r="Q40" s="3" t="str">
        <x:v>Sì</x:v>
      </x:c>
      <x:c r="R40" s="3" t="str">
        <x:v>No</x:v>
      </x:c>
      <x:c r="S40" s="3" t="str">
        <x:v>No</x:v>
      </x:c>
      <x:c r="T40" s="3" t="str">
        <x:v>Sì</x:v>
      </x:c>
      <x:c r="U40" s="3" t="str">
        <x:v>Sì</x:v>
      </x:c>
      <x:c r="V40" s="3" t="str">
        <x:v>N/D</x:v>
      </x:c>
      <x:c r="W40" s="3" t="str">
        <x:v>N/D</x:v>
      </x:c>
      <x:c r="X40" s="9" t="n">
        <x:v>46234</x:v>
      </x:c>
      <x:c r="Y40" s="3" t="str">
        <x:v>N/D</x:v>
      </x:c>
      <x:c r="Z40" s="3" t="str">
        <x:v>Ultimo aggiornamento esposto</x:v>
      </x:c>
      <x:c r="AA40" s="3" t="str">
        <x:v>N/D</x:v>
      </x:c>
      <x:c r="AB40" s="9" t="n">
        <x:v>46270</x:v>
      </x:c>
      <x:c r="AC40" s="3" t="str">
        <x:v>Dettaglio annuncio</x:v>
      </x:c>
      <x:c r="AD40" s="3" t="str">
        <x:v>Prima pubblicazione non esposta. Prezzo richiesto; aggiornamento distinto dalla rilevazione.</x:v>
      </x:c>
      <x:c r="AE40" s="3" t="str">
        <x:v>E</x:v>
      </x:c>
      <x:c r="AF40" s="3" t="str">
        <x:v>Classe dichiarata</x:v>
      </x:c>
      <x:c r="AG40" s="9" t="n">
        <x:v>46270</x:v>
      </x:c>
    </x:row>
    <x:row r="41" ht="48" customHeight="1">
      <x:c r="A41" s="3" t="n">
        <x:v>240</x:v>
      </x:c>
      <x:c r="B41" s="3" t="n">
        <x:v>122530416</x:v>
      </x:c>
      <x:c r="C41" s="3" t="str">
        <x:v>Immobiliare.it</x:v>
      </x:c>
      <x:c r="D41" s="3" t="str">
        <x:v>Vendita</x:v>
      </x:c>
      <x:c r="E41" s="3" t="str">
        <x:v>Baggio</x:v>
      </x:c>
      <x:c r="F41" s="3" t="str">
        <x:v>via Francesco Rismondo 110</x:v>
      </x:c>
      <x:c r="G41" s="3" t="str">
        <x:v>Bilocale</x:v>
      </x:c>
      <x:c r="H41" s="6" t="n">
        <x:v>189000</x:v>
      </x:c>
      <x:c r="I41" s="7" t="n">
        <x:v>48</x:v>
      </x:c>
      <x:c r="J41" s="8" t="n">
        <x:f>IF(D41="Vendita",H41/I41,"")</x:f>
        <x:v>3937.5</x:v>
      </x:c>
      <x:c r="K41" s="8" t="str">
        <x:f>IF(D41="Affitto",H41/I41,"")</x:f>
      </x:c>
      <x:c r="L41" s="3" t="n">
        <x:v>2</x:v>
      </x:c>
      <x:c r="M41" s="3" t="n">
        <x:v>1</x:v>
      </x:c>
      <x:c r="N41" s="3" t="str">
        <x:v>1</x:v>
      </x:c>
      <x:c r="O41" s="3" t="str">
        <x:v>Nuovo</x:v>
      </x:c>
      <x:c r="P41" s="3" t="str">
        <x:v>N/D</x:v>
      </x:c>
      <x:c r="Q41" s="3" t="str">
        <x:v>Sì</x:v>
      </x:c>
      <x:c r="R41" s="3" t="str">
        <x:v>Sì</x:v>
      </x:c>
      <x:c r="S41" s="3" t="str">
        <x:v>N/D</x:v>
      </x:c>
      <x:c r="T41" s="3" t="str">
        <x:v>No</x:v>
      </x:c>
      <x:c r="U41" s="3" t="str">
        <x:v>Sì</x:v>
      </x:c>
      <x:c r="V41" s="3" t="str">
        <x:v>1 posto auto</x:v>
      </x:c>
      <x:c r="W41" s="3" t="str">
        <x:v>N/D</x:v>
      </x:c>
      <x:c r="X41" s="9" t="n">
        <x:v>46169</x:v>
      </x:c>
      <x:c r="Y41" s="3" t="str">
        <x:v>N/D</x:v>
      </x:c>
      <x:c r="Z41" s="3" t="str">
        <x:v>Ultimo aggiornamento esposto</x:v>
      </x:c>
      <x:c r="AA41" s="3" t="str">
        <x:v>N/D</x:v>
      </x:c>
      <x:c r="AB41" s="9" t="n">
        <x:v>46270</x:v>
      </x:c>
      <x:c r="AC41" s="3" t="str">
        <x:v>Dettaglio annuncio</x:v>
      </x:c>
      <x:c r="AD41" s="3" t="str">
        <x:v>Prima pubblicazione non esposta. Prezzo richiesto; aggiornamento distinto dalla rilevazione.</x:v>
      </x:c>
      <x:c r="AE41" s="3" t="str">
        <x:v>A</x:v>
      </x:c>
      <x:c r="AF41" s="3" t="str">
        <x:v>Classe dichiarata</x:v>
      </x:c>
      <x:c r="AG41" s="9" t="n">
        <x:v>46270</x:v>
      </x:c>
    </x:row>
    <x:row r="42" ht="48" customHeight="1">
      <x:c r="A42" s="3" t="n">
        <x:v>241</x:v>
      </x:c>
      <x:c r="B42" s="3" t="n">
        <x:v>131544718</x:v>
      </x:c>
      <x:c r="C42" s="3" t="str">
        <x:v>Immobiliare.it</x:v>
      </x:c>
      <x:c r="D42" s="3" t="str">
        <x:v>Vendita</x:v>
      </x:c>
      <x:c r="E42" s="3" t="str">
        <x:v>Baggio</x:v>
      </x:c>
      <x:c r="F42" s="3" t="str">
        <x:v>via Pietro Canevari 7</x:v>
      </x:c>
      <x:c r="G42" s="3" t="str">
        <x:v>Quadrilocale</x:v>
      </x:c>
      <x:c r="H42" s="6" t="n">
        <x:v>460000</x:v>
      </x:c>
      <x:c r="I42" s="7" t="n">
        <x:v>170</x:v>
      </x:c>
      <x:c r="J42" s="8" t="n">
        <x:f>IF(D42="Vendita",H42/I42,"")</x:f>
        <x:v>2705.8823529411766</x:v>
      </x:c>
      <x:c r="K42" s="8" t="str">
        <x:f>IF(D42="Affitto",H42/I42,"")</x:f>
      </x:c>
      <x:c r="L42" s="3" t="n">
        <x:v>4</x:v>
      </x:c>
      <x:c r="M42" s="3" t="n">
        <x:v>2</x:v>
      </x:c>
      <x:c r="N42" s="3" t="str">
        <x:v>1</x:v>
      </x:c>
      <x:c r="O42" s="3" t="str">
        <x:v>Buono stato</x:v>
      </x:c>
      <x:c r="P42" s="3" t="str">
        <x:v>N/D</x:v>
      </x:c>
      <x:c r="Q42" s="3" t="str">
        <x:v>No</x:v>
      </x:c>
      <x:c r="R42" s="3" t="str">
        <x:v>Sì</x:v>
      </x:c>
      <x:c r="S42" s="3" t="str">
        <x:v>Sì</x:v>
      </x:c>
      <x:c r="T42" s="3" t="str">
        <x:v>Parzialmente Arredato</x:v>
      </x:c>
      <x:c r="U42" s="3" t="str">
        <x:v>Sì</x:v>
      </x:c>
      <x:c r="V42" s="3" t="str">
        <x:v>2 in box privato/box in garage</x:v>
      </x:c>
      <x:c r="W42" s="3" t="str">
        <x:v>N/D</x:v>
      </x:c>
      <x:c r="X42" s="9" t="n">
        <x:v>46239</x:v>
      </x:c>
      <x:c r="Y42" s="3" t="str">
        <x:v>N/D</x:v>
      </x:c>
      <x:c r="Z42" s="3" t="str">
        <x:v>Ultimo aggiornamento esposto</x:v>
      </x:c>
      <x:c r="AA42" s="3" t="str">
        <x:v>N/D</x:v>
      </x:c>
      <x:c r="AB42" s="9" t="n">
        <x:v>46270</x:v>
      </x:c>
      <x:c r="AC42" s="3" t="str">
        <x:v>Dettaglio annuncio</x:v>
      </x:c>
      <x:c r="AD42" s="3" t="str">
        <x:v>Prima pubblicazione non esposta. Prezzo richiesto; aggiornamento distinto dalla rilevazione.</x:v>
      </x:c>
      <x:c r="AE42" s="3" t="str">
        <x:v>F</x:v>
      </x:c>
      <x:c r="AF42" s="3" t="str">
        <x:v>Classe dichiarata</x:v>
      </x:c>
      <x:c r="AG42" s="9" t="n">
        <x:v>46270</x:v>
      </x:c>
    </x:row>
    <x:row r="43" ht="48" customHeight="1">
      <x:c r="A43" s="3" t="n">
        <x:v>242</x:v>
      </x:c>
      <x:c r="B43" s="3" t="n">
        <x:v>130178534</x:v>
      </x:c>
      <x:c r="C43" s="3" t="str">
        <x:v>Immobiliare.it</x:v>
      </x:c>
      <x:c r="D43" s="3" t="str">
        <x:v>Vendita</x:v>
      </x:c>
      <x:c r="E43" s="3" t="str">
        <x:v>Baggio</x:v>
      </x:c>
      <x:c r="F43" s="3" t="str">
        <x:v>via Pietro Colla 36</x:v>
      </x:c>
      <x:c r="G43" s="3" t="str">
        <x:v>Villa bifamiliare</x:v>
      </x:c>
      <x:c r="H43" s="6" t="n">
        <x:v>550000</x:v>
      </x:c>
      <x:c r="I43" s="7" t="n">
        <x:v>250</x:v>
      </x:c>
      <x:c r="J43" s="8" t="n">
        <x:f>IF(D43="Vendita",H43/I43,"")</x:f>
        <x:v>2200</x:v>
      </x:c>
      <x:c r="K43" s="8" t="str">
        <x:f>IF(D43="Affitto",H43/I43,"")</x:f>
      </x:c>
      <x:c r="L43" s="3" t="str">
        <x:v>5+</x:v>
      </x:c>
      <x:c r="M43" s="3" t="n">
        <x:v>2</x:v>
      </x:c>
      <x:c r="N43" s="3" t="str">
        <x:v>Piano terra</x:v>
      </x:c>
      <x:c r="O43" s="3" t="str">
        <x:v>Da ristrutturare</x:v>
      </x:c>
      <x:c r="P43" s="3" t="str">
        <x:v>N/D</x:v>
      </x:c>
      <x:c r="Q43" s="3" t="str">
        <x:v>No</x:v>
      </x:c>
      <x:c r="R43" s="3" t="str">
        <x:v>Sì</x:v>
      </x:c>
      <x:c r="S43" s="3" t="str">
        <x:v>No</x:v>
      </x:c>
      <x:c r="T43" s="3" t="str">
        <x:v>No</x:v>
      </x:c>
      <x:c r="U43" s="3" t="str">
        <x:v>Sì</x:v>
      </x:c>
      <x:c r="V43" s="3" t="str">
        <x:v>2 in box privato/box in garage</x:v>
      </x:c>
      <x:c r="W43" s="3" t="str">
        <x:v>N/D</x:v>
      </x:c>
      <x:c r="X43" s="9" t="n">
        <x:v>46197</x:v>
      </x:c>
      <x:c r="Y43" s="3" t="str">
        <x:v>N/D</x:v>
      </x:c>
      <x:c r="Z43" s="3" t="str">
        <x:v>Ultimo aggiornamento esposto</x:v>
      </x:c>
      <x:c r="AA43" s="3" t="str">
        <x:v>N/D</x:v>
      </x:c>
      <x:c r="AB43" s="9" t="n">
        <x:v>46270</x:v>
      </x:c>
      <x:c r="AC43" s="3" t="str">
        <x:v>Dettaglio annuncio</x:v>
      </x:c>
      <x:c r="AD43" s="3" t="str">
        <x:v>Prima pubblicazione non esposta. Prezzo richiesto; aggiornamento distinto dalla rilevazione.</x:v>
      </x:c>
      <x:c r="AE43" s="3" t="str">
        <x:v>G</x:v>
      </x:c>
      <x:c r="AF43" s="3" t="str">
        <x:v>Classe dichiarata</x:v>
      </x:c>
      <x:c r="AG43" s="9" t="n">
        <x:v>46270</x:v>
      </x:c>
    </x:row>
    <x:row r="44" ht="48" customHeight="1">
      <x:c r="A44" s="3" t="n">
        <x:v>243</x:v>
      </x:c>
      <x:c r="B44" s="3" t="n">
        <x:v>127678794</x:v>
      </x:c>
      <x:c r="C44" s="3" t="str">
        <x:v>Immobiliare.it</x:v>
      </x:c>
      <x:c r="D44" s="3" t="str">
        <x:v>Vendita</x:v>
      </x:c>
      <x:c r="E44" s="3" t="str">
        <x:v>Baggio</x:v>
      </x:c>
      <x:c r="F44" s="3" t="str">
        <x:v>via Valle Anzasca 20</x:v>
      </x:c>
      <x:c r="G44" s="3" t="str">
        <x:v>Bilocale</x:v>
      </x:c>
      <x:c r="H44" s="6" t="n">
        <x:v>225000</x:v>
      </x:c>
      <x:c r="I44" s="7" t="n">
        <x:v>55</x:v>
      </x:c>
      <x:c r="J44" s="8" t="n">
        <x:f>IF(D44="Vendita",H44/I44,"")</x:f>
        <x:v>4090.909090909091</x:v>
      </x:c>
      <x:c r="K44" s="8" t="str">
        <x:f>IF(D44="Affitto",H44/I44,"")</x:f>
      </x:c>
      <x:c r="L44" s="3" t="n">
        <x:v>2</x:v>
      </x:c>
      <x:c r="M44" s="3" t="n">
        <x:v>1</x:v>
      </x:c>
      <x:c r="N44" s="3" t="str">
        <x:v>3</x:v>
      </x:c>
      <x:c r="O44" s="3" t="str">
        <x:v>Nuovo</x:v>
      </x:c>
      <x:c r="P44" s="3" t="str">
        <x:v>N/D</x:v>
      </x:c>
      <x:c r="Q44" s="3" t="str">
        <x:v>Sì</x:v>
      </x:c>
      <x:c r="R44" s="3" t="str">
        <x:v>Sì</x:v>
      </x:c>
      <x:c r="S44" s="3" t="str">
        <x:v>No</x:v>
      </x:c>
      <x:c r="T44" s="3" t="str">
        <x:v>N/D</x:v>
      </x:c>
      <x:c r="U44" s="3" t="str">
        <x:v>N/D</x:v>
      </x:c>
      <x:c r="V44" s="3" t="str">
        <x:v>1 posto auto</x:v>
      </x:c>
      <x:c r="W44" s="3" t="str">
        <x:v>N/D</x:v>
      </x:c>
      <x:c r="X44" s="9" t="n">
        <x:v>46231</x:v>
      </x:c>
      <x:c r="Y44" s="3" t="str">
        <x:v>N/D</x:v>
      </x:c>
      <x:c r="Z44" s="3" t="str">
        <x:v>Ultimo aggiornamento esposto</x:v>
      </x:c>
      <x:c r="AA44" s="3" t="str">
        <x:v>N/D</x:v>
      </x:c>
      <x:c r="AB44" s="9" t="n">
        <x:v>46270</x:v>
      </x:c>
      <x:c r="AC44" s="3" t="str">
        <x:v>Dettaglio annuncio</x:v>
      </x:c>
      <x:c r="AD44" s="3" t="str">
        <x:v>Prima pubblicazione non esposta. Prezzo richiesto; aggiornamento distinto dalla rilevazione.</x:v>
      </x:c>
      <x:c r="AE44" s="3" t="str">
        <x:v>A2</x:v>
      </x:c>
      <x:c r="AF44" s="3" t="str">
        <x:v>Classe dichiarata</x:v>
      </x:c>
      <x:c r="AG44" s="9" t="n">
        <x:v>46270</x:v>
      </x:c>
    </x:row>
    <x:row r="45" ht="48" customHeight="1">
      <x:c r="A45" s="3" t="n">
        <x:v>244</x:v>
      </x:c>
      <x:c r="B45" s="3" t="n">
        <x:v>130528514</x:v>
      </x:c>
      <x:c r="C45" s="3" t="str">
        <x:v>Immobiliare.it</x:v>
      </x:c>
      <x:c r="D45" s="3" t="str">
        <x:v>Vendita</x:v>
      </x:c>
      <x:c r="E45" s="3" t="str">
        <x:v>Baggio</x:v>
      </x:c>
      <x:c r="F45" s="3" t="str">
        <x:v>via delle Forze Armate 260</x:v>
      </x:c>
      <x:c r="G45" s="3" t="str">
        <x:v>Villa a schiera</x:v>
      </x:c>
      <x:c r="H45" s="6" t="n">
        <x:v>680000</x:v>
      </x:c>
      <x:c r="I45" s="7" t="n">
        <x:v>200</x:v>
      </x:c>
      <x:c r="J45" s="8" t="n">
        <x:f>IF(D45="Vendita",H45/I45,"")</x:f>
        <x:v>3400</x:v>
      </x:c>
      <x:c r="K45" s="8" t="str">
        <x:f>IF(D45="Affitto",H45/I45,"")</x:f>
      </x:c>
      <x:c r="L45" s="3" t="n">
        <x:v>4</x:v>
      </x:c>
      <x:c r="M45" s="3" t="n">
        <x:v>2</x:v>
      </x:c>
      <x:c r="N45" s="3" t="str">
        <x:v>Piano rialzato</x:v>
      </x:c>
      <x:c r="O45" s="3" t="str">
        <x:v>Da ristrutturare</x:v>
      </x:c>
      <x:c r="P45" s="3" t="str">
        <x:v>N/D</x:v>
      </x:c>
      <x:c r="Q45" s="3" t="str">
        <x:v>No</x:v>
      </x:c>
      <x:c r="R45" s="3" t="str">
        <x:v>No</x:v>
      </x:c>
      <x:c r="S45" s="3" t="str">
        <x:v>Sì</x:v>
      </x:c>
      <x:c r="T45" s="3" t="str">
        <x:v>No</x:v>
      </x:c>
      <x:c r="U45" s="3" t="str">
        <x:v>Sì</x:v>
      </x:c>
      <x:c r="V45" s="3" t="str">
        <x:v>1 in box privato/box in garage</x:v>
      </x:c>
      <x:c r="W45" s="3" t="str">
        <x:v>N/D</x:v>
      </x:c>
      <x:c r="X45" s="9" t="n">
        <x:v>46224</x:v>
      </x:c>
      <x:c r="Y45" s="3" t="str">
        <x:v>N/D</x:v>
      </x:c>
      <x:c r="Z45" s="3" t="str">
        <x:v>Ultimo aggiornamento esposto</x:v>
      </x:c>
      <x:c r="AA45" s="3" t="str">
        <x:v>N/D</x:v>
      </x:c>
      <x:c r="AB45" s="9" t="n">
        <x:v>46270</x:v>
      </x:c>
      <x:c r="AC45" s="3" t="str">
        <x:v>Dettaglio annuncio</x:v>
      </x:c>
      <x:c r="AD45" s="3" t="str">
        <x:v>Prima pubblicazione non esposta. Prezzo richiesto; aggiornamento distinto dalla rilevazione.</x:v>
      </x:c>
      <x:c r="AE45" s="3" t="str">
        <x:v>G</x:v>
      </x:c>
      <x:c r="AF45" s="3" t="str">
        <x:v>Classe dichiarata</x:v>
      </x:c>
      <x:c r="AG45" s="9" t="n">
        <x:v>46270</x:v>
      </x:c>
    </x:row>
    <x:row r="46" ht="48" customHeight="1">
      <x:c r="A46" s="3" t="n">
        <x:v>245</x:v>
      </x:c>
      <x:c r="B46" s="3" t="n">
        <x:v>131391716</x:v>
      </x:c>
      <x:c r="C46" s="3" t="str">
        <x:v>Immobiliare.it</x:v>
      </x:c>
      <x:c r="D46" s="3" t="str">
        <x:v>Vendita</x:v>
      </x:c>
      <x:c r="E46" s="3" t="str">
        <x:v>Affori</x:v>
      </x:c>
      <x:c r="F46" s="3" t="str">
        <x:v>via Alessandro Astesani 41</x:v>
      </x:c>
      <x:c r="G46" s="3" t="str">
        <x:v>Bilocale</x:v>
      </x:c>
      <x:c r="H46" s="6" t="n">
        <x:v>299000</x:v>
      </x:c>
      <x:c r="I46" s="7" t="n">
        <x:v>68</x:v>
      </x:c>
      <x:c r="J46" s="8" t="n">
        <x:f>IF(D46="Vendita",H46/I46,"")</x:f>
        <x:v>4397.058823529412</x:v>
      </x:c>
      <x:c r="K46" s="8" t="str">
        <x:f>IF(D46="Affitto",H46/I46,"")</x:f>
      </x:c>
      <x:c r="L46" s="3" t="n">
        <x:v>2</x:v>
      </x:c>
      <x:c r="M46" s="3" t="n">
        <x:v>1</x:v>
      </x:c>
      <x:c r="N46" s="3" t="str">
        <x:v>7</x:v>
      </x:c>
      <x:c r="O46" s="3" t="str">
        <x:v>Ottimo stato</x:v>
      </x:c>
      <x:c r="P46" s="3" t="str">
        <x:v>N/D</x:v>
      </x:c>
      <x:c r="Q46" s="3" t="str">
        <x:v>Sì</x:v>
      </x:c>
      <x:c r="R46" s="3" t="str">
        <x:v>Sì</x:v>
      </x:c>
      <x:c r="S46" s="3" t="str">
        <x:v>No</x:v>
      </x:c>
      <x:c r="T46" s="3" t="str">
        <x:v>Parzialmente Arredato</x:v>
      </x:c>
      <x:c r="U46" s="3" t="str">
        <x:v>Sì</x:v>
      </x:c>
      <x:c r="V46" s="3" t="str">
        <x:v>N/D</x:v>
      </x:c>
      <x:c r="W46" s="3" t="str">
        <x:v>N/D</x:v>
      </x:c>
      <x:c r="X46" s="9" t="n">
        <x:v>46233</x:v>
      </x:c>
      <x:c r="Y46" s="3" t="str">
        <x:v>N/D</x:v>
      </x:c>
      <x:c r="Z46" s="3" t="str">
        <x:v>Ultimo aggiornamento esposto</x:v>
      </x:c>
      <x:c r="AA46" s="3" t="str">
        <x:v>N/D</x:v>
      </x:c>
      <x:c r="AB46" s="9" t="n">
        <x:v>46270</x:v>
      </x:c>
      <x:c r="AC46" s="3" t="str">
        <x:v>Dettaglio annuncio</x:v>
      </x:c>
      <x:c r="AD46" s="3" t="str">
        <x:v>Prima pubblicazione non esposta. Prezzo richiesto; aggiornamento distinto dalla rilevazione.</x:v>
      </x:c>
      <x:c r="AE46" s="3" t="str">
        <x:v>N/D</x:v>
      </x:c>
      <x:c r="AF46" s="3" t="str">
        <x:v>Classe non dichiarata nel testo consultato</x:v>
      </x:c>
      <x:c r="AG46" s="9" t="n">
        <x:v>46270</x:v>
      </x:c>
    </x:row>
    <x:row r="47" ht="48" customHeight="1">
      <x:c r="A47" s="3" t="n">
        <x:v>246</x:v>
      </x:c>
      <x:c r="B47" s="3" t="n">
        <x:v>131151762</x:v>
      </x:c>
      <x:c r="C47" s="3" t="str">
        <x:v>Immobiliare.it</x:v>
      </x:c>
      <x:c r="D47" s="3" t="str">
        <x:v>Vendita</x:v>
      </x:c>
      <x:c r="E47" s="3" t="str">
        <x:v>Affori</x:v>
      </x:c>
      <x:c r="F47" s="3" t="str">
        <x:v>via Alessandro Astesani 45</x:v>
      </x:c>
      <x:c r="G47" s="3" t="str">
        <x:v>Trilocale</x:v>
      </x:c>
      <x:c r="H47" s="6" t="n">
        <x:v>410000</x:v>
      </x:c>
      <x:c r="I47" s="7" t="n">
        <x:v>102</x:v>
      </x:c>
      <x:c r="J47" s="8" t="n">
        <x:f>IF(D47="Vendita",H47/I47,"")</x:f>
        <x:v>4019.607843137255</x:v>
      </x:c>
      <x:c r="K47" s="8" t="str">
        <x:f>IF(D47="Affitto",H47/I47,"")</x:f>
      </x:c>
      <x:c r="L47" s="3" t="n">
        <x:v>3</x:v>
      </x:c>
      <x:c r="M47" s="3" t="n">
        <x:v>2</x:v>
      </x:c>
      <x:c r="N47" s="3" t="str">
        <x:v>Interrato (-2), 4</x:v>
      </x:c>
      <x:c r="O47" s="3" t="str">
        <x:v>Ottimo stato</x:v>
      </x:c>
      <x:c r="P47" s="3" t="str">
        <x:v>N/D</x:v>
      </x:c>
      <x:c r="Q47" s="3" t="str">
        <x:v>Sì</x:v>
      </x:c>
      <x:c r="R47" s="3" t="str">
        <x:v>Sì</x:v>
      </x:c>
      <x:c r="S47" s="3" t="str">
        <x:v>No</x:v>
      </x:c>
      <x:c r="T47" s="3" t="str">
        <x:v>Parzialmente Arredato</x:v>
      </x:c>
      <x:c r="U47" s="3" t="str">
        <x:v>Sì</x:v>
      </x:c>
      <x:c r="V47" s="3" t="str">
        <x:v>1 in box privato/box in garage</x:v>
      </x:c>
      <x:c r="W47" s="3" t="str">
        <x:v>N/D</x:v>
      </x:c>
      <x:c r="X47" s="9" t="n">
        <x:v>46224</x:v>
      </x:c>
      <x:c r="Y47" s="3" t="str">
        <x:v>N/D</x:v>
      </x:c>
      <x:c r="Z47" s="3" t="str">
        <x:v>Ultimo aggiornamento esposto</x:v>
      </x:c>
      <x:c r="AA47" s="3" t="str">
        <x:v>N/D</x:v>
      </x:c>
      <x:c r="AB47" s="9" t="n">
        <x:v>46270</x:v>
      </x:c>
      <x:c r="AC47" s="3" t="str">
        <x:v>Dettaglio annuncio</x:v>
      </x:c>
      <x:c r="AD47" s="3" t="str">
        <x:v>Prima pubblicazione non esposta. Prezzo richiesto; aggiornamento distinto dalla rilevazione.</x:v>
      </x:c>
      <x:c r="AE47" s="3" t="str">
        <x:v>B</x:v>
      </x:c>
      <x:c r="AF47" s="3" t="str">
        <x:v>Classe dichiarata</x:v>
      </x:c>
      <x:c r="AG47" s="9" t="n">
        <x:v>46270</x:v>
      </x:c>
    </x:row>
    <x:row r="48" ht="48" customHeight="1">
      <x:c r="A48" s="3" t="n">
        <x:v>247</x:v>
      </x:c>
      <x:c r="B48" s="3" t="n">
        <x:v>129952448</x:v>
      </x:c>
      <x:c r="C48" s="3" t="str">
        <x:v>Immobiliare.it</x:v>
      </x:c>
      <x:c r="D48" s="3" t="str">
        <x:v>Vendita</x:v>
      </x:c>
      <x:c r="E48" s="3" t="str">
        <x:v>Affori</x:v>
      </x:c>
      <x:c r="F48" s="3" t="str">
        <x:v>via Carlo Bellerio 22</x:v>
      </x:c>
      <x:c r="G48" s="3" t="str">
        <x:v>Trilocale</x:v>
      </x:c>
      <x:c r="H48" s="6" t="n">
        <x:v>329000</x:v>
      </x:c>
      <x:c r="I48" s="7" t="n">
        <x:v>80</x:v>
      </x:c>
      <x:c r="J48" s="8" t="n">
        <x:f>IF(D48="Vendita",H48/I48,"")</x:f>
        <x:v>4112.5</x:v>
      </x:c>
      <x:c r="K48" s="8" t="str">
        <x:f>IF(D48="Affitto",H48/I48,"")</x:f>
      </x:c>
      <x:c r="L48" s="3" t="n">
        <x:v>3</x:v>
      </x:c>
      <x:c r="M48" s="3" t="n">
        <x:v>1</x:v>
      </x:c>
      <x:c r="N48" s="3" t="str">
        <x:v>2 piano</x:v>
      </x:c>
      <x:c r="O48" s="3" t="str">
        <x:v>Ottimo stato</x:v>
      </x:c>
      <x:c r="P48" s="3" t="str">
        <x:v>N/D</x:v>
      </x:c>
      <x:c r="Q48" s="3" t="str">
        <x:v>No</x:v>
      </x:c>
      <x:c r="R48" s="3" t="str">
        <x:v>Sì</x:v>
      </x:c>
      <x:c r="S48" s="3" t="str">
        <x:v>No</x:v>
      </x:c>
      <x:c r="T48" s="3" t="str">
        <x:v>No</x:v>
      </x:c>
      <x:c r="U48" s="3" t="str">
        <x:v>Sì</x:v>
      </x:c>
      <x:c r="V48" s="3" t="str">
        <x:v>N/D</x:v>
      </x:c>
      <x:c r="W48" s="3" t="str">
        <x:v>N/D</x:v>
      </x:c>
      <x:c r="X48" s="9" t="n">
        <x:v>46232</x:v>
      </x:c>
      <x:c r="Y48" s="3" t="str">
        <x:v>N/D</x:v>
      </x:c>
      <x:c r="Z48" s="3" t="str">
        <x:v>Ultimo aggiornamento esposto</x:v>
      </x:c>
      <x:c r="AA48" s="3" t="str">
        <x:v>N/D</x:v>
      </x:c>
      <x:c r="AB48" s="9" t="n">
        <x:v>46270</x:v>
      </x:c>
      <x:c r="AC48" s="3" t="str">
        <x:v>Dettaglio annuncio</x:v>
      </x:c>
      <x:c r="AD48" s="3" t="str">
        <x:v>Prima pubblicazione non esposta. Prezzo richiesto; aggiornamento distinto dalla rilevazione.</x:v>
      </x:c>
      <x:c r="AE48" s="3" t="str">
        <x:v>E</x:v>
      </x:c>
      <x:c r="AF48" s="3" t="str">
        <x:v>Classe dichiarata</x:v>
      </x:c>
      <x:c r="AG48" s="9" t="n">
        <x:v>46270</x:v>
      </x:c>
    </x:row>
    <x:row r="49" ht="48" customHeight="1">
      <x:c r="A49" s="3" t="n">
        <x:v>248</x:v>
      </x:c>
      <x:c r="B49" s="3" t="n">
        <x:v>132068376</x:v>
      </x:c>
      <x:c r="C49" s="3" t="str">
        <x:v>Immobiliare.it</x:v>
      </x:c>
      <x:c r="D49" s="3" t="str">
        <x:v>Vendita</x:v>
      </x:c>
      <x:c r="E49" s="3" t="str">
        <x:v>Affori</x:v>
      </x:c>
      <x:c r="F49" s="3" t="str">
        <x:v>via Chianciano 7</x:v>
      </x:c>
      <x:c r="G49" s="3" t="str">
        <x:v>Bilocale</x:v>
      </x:c>
      <x:c r="H49" s="6" t="n">
        <x:v>193000</x:v>
      </x:c>
      <x:c r="I49" s="7" t="n">
        <x:v>45</x:v>
      </x:c>
      <x:c r="J49" s="8" t="n">
        <x:f>IF(D49="Vendita",H49/I49,"")</x:f>
        <x:v>4288.888888888889</x:v>
      </x:c>
      <x:c r="K49" s="8" t="str">
        <x:f>IF(D49="Affitto",H49/I49,"")</x:f>
      </x:c>
      <x:c r="L49" s="3" t="n">
        <x:v>2</x:v>
      </x:c>
      <x:c r="M49" s="3" t="n">
        <x:v>1</x:v>
      </x:c>
      <x:c r="N49" s="3" t="str">
        <x:v>Piano terra</x:v>
      </x:c>
      <x:c r="O49" s="3" t="str">
        <x:v>Ottimo stato</x:v>
      </x:c>
      <x:c r="P49" s="3" t="str">
        <x:v>N/D</x:v>
      </x:c>
      <x:c r="Q49" s="3" t="str">
        <x:v>Sì</x:v>
      </x:c>
      <x:c r="R49" s="3" t="str">
        <x:v>No</x:v>
      </x:c>
      <x:c r="S49" s="3" t="str">
        <x:v>No</x:v>
      </x:c>
      <x:c r="T49" s="3" t="str">
        <x:v>Sì</x:v>
      </x:c>
      <x:c r="U49" s="3" t="str">
        <x:v>N/D</x:v>
      </x:c>
      <x:c r="V49" s="3" t="str">
        <x:v>N/D</x:v>
      </x:c>
      <x:c r="W49" s="3" t="str">
        <x:v>N/D</x:v>
      </x:c>
      <x:c r="X49" s="9" t="n">
        <x:v>46267</x:v>
      </x:c>
      <x:c r="Y49" s="3" t="str">
        <x:v>N/D</x:v>
      </x:c>
      <x:c r="Z49" s="3" t="str">
        <x:v>Ultimo aggiornamento esposto</x:v>
      </x:c>
      <x:c r="AA49" s="3" t="str">
        <x:v>N/D</x:v>
      </x:c>
      <x:c r="AB49" s="9" t="n">
        <x:v>46270</x:v>
      </x:c>
      <x:c r="AC49" s="3" t="str">
        <x:v>Dettaglio annuncio</x:v>
      </x:c>
      <x:c r="AD49" s="3" t="str">
        <x:v>Prima pubblicazione non esposta. Prezzo richiesto; aggiornamento distinto dalla rilevazione.</x:v>
      </x:c>
      <x:c r="AE49" s="3" t="str">
        <x:v>N/D</x:v>
      </x:c>
      <x:c r="AF49" s="3" t="str">
        <x:v>Classe non dichiarata nel testo consultato</x:v>
      </x:c>
      <x:c r="AG49" s="9" t="n">
        <x:v>46270</x:v>
      </x:c>
    </x:row>
    <x:row r="50" ht="48" customHeight="1">
      <x:c r="A50" s="3" t="n">
        <x:v>249</x:v>
      </x:c>
      <x:c r="B50" s="3" t="n">
        <x:v>131046474</x:v>
      </x:c>
      <x:c r="C50" s="3" t="str">
        <x:v>Immobiliare.it</x:v>
      </x:c>
      <x:c r="D50" s="3" t="str">
        <x:v>Vendita</x:v>
      </x:c>
      <x:c r="E50" s="3" t="str">
        <x:v>Affori</x:v>
      </x:c>
      <x:c r="F50" s="3" t="str">
        <x:v>via Gabbro 12</x:v>
      </x:c>
      <x:c r="G50" s="3" t="str">
        <x:v>Trilocale</x:v>
      </x:c>
      <x:c r="H50" s="6" t="n">
        <x:v>405000</x:v>
      </x:c>
      <x:c r="I50" s="7" t="n">
        <x:v>90</x:v>
      </x:c>
      <x:c r="J50" s="8" t="n">
        <x:f>IF(D50="Vendita",H50/I50,"")</x:f>
        <x:v>4500</x:v>
      </x:c>
      <x:c r="K50" s="8" t="str">
        <x:f>IF(D50="Affitto",H50/I50,"")</x:f>
      </x:c>
      <x:c r="L50" s="3" t="n">
        <x:v>3</x:v>
      </x:c>
      <x:c r="M50" s="3" t="n">
        <x:v>1</x:v>
      </x:c>
      <x:c r="N50" s="3" t="str">
        <x:v>7</x:v>
      </x:c>
      <x:c r="O50" s="3" t="str">
        <x:v>Ottimo stato</x:v>
      </x:c>
      <x:c r="P50" s="3" t="str">
        <x:v>N/D</x:v>
      </x:c>
      <x:c r="Q50" s="3" t="str">
        <x:v>Sì</x:v>
      </x:c>
      <x:c r="R50" s="3" t="str">
        <x:v>Sì</x:v>
      </x:c>
      <x:c r="S50" s="3" t="str">
        <x:v>No</x:v>
      </x:c>
      <x:c r="T50" s="3" t="str">
        <x:v>No</x:v>
      </x:c>
      <x:c r="U50" s="3" t="str">
        <x:v>Sì</x:v>
      </x:c>
      <x:c r="V50" s="3" t="str">
        <x:v>N/D</x:v>
      </x:c>
      <x:c r="W50" s="3" t="str">
        <x:v>N/D</x:v>
      </x:c>
      <x:c r="X50" s="9" t="n">
        <x:v>46220</x:v>
      </x:c>
      <x:c r="Y50" s="3" t="str">
        <x:v>N/D</x:v>
      </x:c>
      <x:c r="Z50" s="3" t="str">
        <x:v>Ultimo aggiornamento esposto</x:v>
      </x:c>
      <x:c r="AA50" s="3" t="str">
        <x:v>N/D</x:v>
      </x:c>
      <x:c r="AB50" s="9" t="n">
        <x:v>46270</x:v>
      </x:c>
      <x:c r="AC50" s="3" t="str">
        <x:v>Dettaglio annuncio</x:v>
      </x:c>
      <x:c r="AD50" s="3" t="str">
        <x:v>Prima pubblicazione non esposta. Prezzo richiesto; aggiornamento distinto dalla rilevazione.</x:v>
      </x:c>
      <x:c r="AE50" s="3" t="str">
        <x:v>F</x:v>
      </x:c>
      <x:c r="AF50" s="3" t="str">
        <x:v>Classe dichiarata</x:v>
      </x:c>
      <x:c r="AG50" s="9" t="n">
        <x:v>46270</x:v>
      </x:c>
    </x:row>
    <x:row r="51" ht="48" customHeight="1">
      <x:c r="A51" s="3" t="n">
        <x:v>250</x:v>
      </x:c>
      <x:c r="B51" s="3" t="n">
        <x:v>132076988</x:v>
      </x:c>
      <x:c r="C51" s="3" t="str">
        <x:v>Immobiliare.it</x:v>
      </x:c>
      <x:c r="D51" s="3" t="str">
        <x:v>Vendita</x:v>
      </x:c>
      <x:c r="E51" s="3" t="str">
        <x:v>Affori</x:v>
      </x:c>
      <x:c r="F51" s="3" t="str">
        <x:v>via Gaetano Osculati 8</x:v>
      </x:c>
      <x:c r="G51" s="3" t="str">
        <x:v>Bilocale</x:v>
      </x:c>
      <x:c r="H51" s="6" t="n">
        <x:v>262000</x:v>
      </x:c>
      <x:c r="I51" s="7" t="n">
        <x:v>50</x:v>
      </x:c>
      <x:c r="J51" s="8" t="n">
        <x:f>IF(D51="Vendita",H51/I51,"")</x:f>
        <x:v>5240</x:v>
      </x:c>
      <x:c r="K51" s="8" t="str">
        <x:f>IF(D51="Affitto",H51/I51,"")</x:f>
      </x:c>
      <x:c r="L51" s="3" t="n">
        <x:v>2</x:v>
      </x:c>
      <x:c r="M51" s="3" t="n">
        <x:v>1</x:v>
      </x:c>
      <x:c r="N51" s="3" t="str">
        <x:v>Piano terra</x:v>
      </x:c>
      <x:c r="O51" s="3" t="str">
        <x:v>Nuovo</x:v>
      </x:c>
      <x:c r="P51" s="3" t="str">
        <x:v>N/D</x:v>
      </x:c>
      <x:c r="Q51" s="3" t="str">
        <x:v>No</x:v>
      </x:c>
      <x:c r="R51" s="3" t="str">
        <x:v>No</x:v>
      </x:c>
      <x:c r="S51" s="3" t="str">
        <x:v>No</x:v>
      </x:c>
      <x:c r="T51" s="3" t="str">
        <x:v>No</x:v>
      </x:c>
      <x:c r="U51" s="3" t="str">
        <x:v>N/D</x:v>
      </x:c>
      <x:c r="V51" s="3" t="str">
        <x:v>N/D</x:v>
      </x:c>
      <x:c r="W51" s="3" t="str">
        <x:v>N/D</x:v>
      </x:c>
      <x:c r="X51" s="9" t="n">
        <x:v>46266</x:v>
      </x:c>
      <x:c r="Y51" s="3" t="str">
        <x:v>N/D</x:v>
      </x:c>
      <x:c r="Z51" s="3" t="str">
        <x:v>Ultimo aggiornamento esposto</x:v>
      </x:c>
      <x:c r="AA51" s="3" t="str">
        <x:v>N/D</x:v>
      </x:c>
      <x:c r="AB51" s="9" t="n">
        <x:v>46270</x:v>
      </x:c>
      <x:c r="AC51" s="3" t="str">
        <x:v>Dettaglio annuncio</x:v>
      </x:c>
      <x:c r="AD51" s="3" t="str">
        <x:v>Prima pubblicazione non esposta. Prezzo richiesto; aggiornamento distinto dalla rilevazione.</x:v>
      </x:c>
      <x:c r="AE51" s="3" t="str">
        <x:v>A2</x:v>
      </x:c>
      <x:c r="AF51" s="3" t="str">
        <x:v>Classe dichiarata</x:v>
      </x:c>
      <x:c r="AG51" s="9" t="n">
        <x:v>46270</x:v>
      </x:c>
    </x:row>
    <x:row r="52" ht="48" customHeight="1">
      <x:c r="A52" s="3" t="n">
        <x:v>251</x:v>
      </x:c>
      <x:c r="B52" s="3" t="n">
        <x:v>130693220</x:v>
      </x:c>
      <x:c r="C52" s="3" t="str">
        <x:v>Immobiliare.it</x:v>
      </x:c>
      <x:c r="D52" s="3" t="str">
        <x:v>Vendita</x:v>
      </x:c>
      <x:c r="E52" s="3" t="str">
        <x:v>Affori</x:v>
      </x:c>
      <x:c r="F52" s="3" t="str">
        <x:v>via Privata Publio Rutilio Rufo, 20161 Milano Italia</x:v>
      </x:c>
      <x:c r="G52" s="3" t="str">
        <x:v>Bilocale</x:v>
      </x:c>
      <x:c r="H52" s="6" t="n">
        <x:v>179000</x:v>
      </x:c>
      <x:c r="I52" s="7" t="n">
        <x:v>40</x:v>
      </x:c>
      <x:c r="J52" s="8" t="n">
        <x:f>IF(D52="Vendita",H52/I52,"")</x:f>
        <x:v>4475</x:v>
      </x:c>
      <x:c r="K52" s="8" t="str">
        <x:f>IF(D52="Affitto",H52/I52,"")</x:f>
      </x:c>
      <x:c r="L52" s="3" t="n">
        <x:v>2</x:v>
      </x:c>
      <x:c r="M52" s="3" t="n">
        <x:v>1</x:v>
      </x:c>
      <x:c r="N52" s="3" t="str">
        <x:v>4</x:v>
      </x:c>
      <x:c r="O52" s="3" t="str">
        <x:v>Ottimo stato</x:v>
      </x:c>
      <x:c r="P52" s="3" t="str">
        <x:v>N/D</x:v>
      </x:c>
      <x:c r="Q52" s="3" t="str">
        <x:v>No</x:v>
      </x:c>
      <x:c r="R52" s="3" t="str">
        <x:v>Sì</x:v>
      </x:c>
      <x:c r="S52" s="3" t="str">
        <x:v>No</x:v>
      </x:c>
      <x:c r="T52" s="3" t="str">
        <x:v>Sì</x:v>
      </x:c>
      <x:c r="U52" s="3" t="str">
        <x:v>N/D</x:v>
      </x:c>
      <x:c r="V52" s="3" t="str">
        <x:v>N/D</x:v>
      </x:c>
      <x:c r="W52" s="3" t="str">
        <x:v>N/D</x:v>
      </x:c>
      <x:c r="X52" s="9" t="n">
        <x:v>46224</x:v>
      </x:c>
      <x:c r="Y52" s="3" t="str">
        <x:v>N/D</x:v>
      </x:c>
      <x:c r="Z52" s="3" t="str">
        <x:v>Ultimo aggiornamento esposto</x:v>
      </x:c>
      <x:c r="AA52" s="3" t="str">
        <x:v>N/D</x:v>
      </x:c>
      <x:c r="AB52" s="9" t="n">
        <x:v>46270</x:v>
      </x:c>
      <x:c r="AC52" s="3" t="str">
        <x:v>Dettaglio annuncio</x:v>
      </x:c>
      <x:c r="AD52" s="3" t="str">
        <x:v>Prima pubblicazione non esposta. Prezzo richiesto; aggiornamento distinto dalla rilevazione.</x:v>
      </x:c>
      <x:c r="AE52" s="3" t="str">
        <x:v>N/D</x:v>
      </x:c>
      <x:c r="AF52" s="3" t="str">
        <x:v>Classe non dichiarata nel testo consultato</x:v>
      </x:c>
      <x:c r="AG52" s="9" t="n">
        <x:v>46270</x:v>
      </x:c>
    </x:row>
    <x:row r="53" ht="48" customHeight="1">
      <x:c r="A53" s="3" t="n">
        <x:v>252</x:v>
      </x:c>
      <x:c r="B53" s="3" t="n">
        <x:v>123263217</x:v>
      </x:c>
      <x:c r="C53" s="3" t="str">
        <x:v>Immobiliare.it</x:v>
      </x:c>
      <x:c r="D53" s="3" t="str">
        <x:v>Vendita</x:v>
      </x:c>
      <x:c r="E53" s="3" t="str">
        <x:v>Dergano</x:v>
      </x:c>
      <x:c r="F53" s="3" t="str">
        <x:v>via Don Bartolomeo Grazioli 57</x:v>
      </x:c>
      <x:c r="G53" s="3" t="str">
        <x:v>Bilocale</x:v>
      </x:c>
      <x:c r="H53" s="6" t="n">
        <x:v>210000</x:v>
      </x:c>
      <x:c r="I53" s="7" t="n">
        <x:v>50</x:v>
      </x:c>
      <x:c r="J53" s="8" t="n">
        <x:f>IF(D53="Vendita",H53/I53,"")</x:f>
        <x:v>4200</x:v>
      </x:c>
      <x:c r="K53" s="8" t="str">
        <x:f>IF(D53="Affitto",H53/I53,"")</x:f>
      </x:c>
      <x:c r="L53" s="3" t="n">
        <x:v>2</x:v>
      </x:c>
      <x:c r="M53" s="3" t="n">
        <x:v>1</x:v>
      </x:c>
      <x:c r="N53" s="3" t="str">
        <x:v>1</x:v>
      </x:c>
      <x:c r="O53" s="3" t="str">
        <x:v>Nuovo</x:v>
      </x:c>
      <x:c r="P53" s="3" t="str">
        <x:v>N/D</x:v>
      </x:c>
      <x:c r="Q53" s="3" t="str">
        <x:v>Sì</x:v>
      </x:c>
      <x:c r="R53" s="3" t="str">
        <x:v>Sì</x:v>
      </x:c>
      <x:c r="S53" s="3" t="str">
        <x:v>No</x:v>
      </x:c>
      <x:c r="T53" s="3" t="str">
        <x:v>No</x:v>
      </x:c>
      <x:c r="U53" s="3" t="str">
        <x:v>N/D</x:v>
      </x:c>
      <x:c r="V53" s="3" t="str">
        <x:v>N/D</x:v>
      </x:c>
      <x:c r="W53" s="3" t="str">
        <x:v>N/D</x:v>
      </x:c>
      <x:c r="X53" s="9" t="n">
        <x:v>46268</x:v>
      </x:c>
      <x:c r="Y53" s="3" t="str">
        <x:v>N/D</x:v>
      </x:c>
      <x:c r="Z53" s="3" t="str">
        <x:v>Ultimo aggiornamento esposto</x:v>
      </x:c>
      <x:c r="AA53" s="3" t="str">
        <x:v>N/D</x:v>
      </x:c>
      <x:c r="AB53" s="9" t="n">
        <x:v>46270</x:v>
      </x:c>
      <x:c r="AC53" s="3" t="str">
        <x:v>Dettaglio annuncio</x:v>
      </x:c>
      <x:c r="AD53" s="3" t="str">
        <x:v>Prima pubblicazione non esposta. Prezzo richiesto; aggiornamento distinto dalla rilevazione.</x:v>
      </x:c>
      <x:c r="AE53" s="3" t="str">
        <x:v>A</x:v>
      </x:c>
      <x:c r="AF53" s="3" t="str">
        <x:v>Classe dichiarata</x:v>
      </x:c>
      <x:c r="AG53" s="9" t="n">
        <x:v>46270</x:v>
      </x:c>
    </x:row>
    <x:row r="54" ht="48" customHeight="1">
      <x:c r="A54" s="3" t="n">
        <x:v>253</x:v>
      </x:c>
      <x:c r="B54" s="3" t="n">
        <x:v>130266504</x:v>
      </x:c>
      <x:c r="C54" s="3" t="str">
        <x:v>Immobiliare.it</x:v>
      </x:c>
      <x:c r="D54" s="3" t="str">
        <x:v>Vendita</x:v>
      </x:c>
      <x:c r="E54" s="3" t="str">
        <x:v>Bocconi</x:v>
      </x:c>
      <x:c r="F54" s="3" t="str">
        <x:v>via Ripamonti 18</x:v>
      </x:c>
      <x:c r="G54" s="3" t="str">
        <x:v>Bilocale</x:v>
      </x:c>
      <x:c r="H54" s="6" t="n">
        <x:v>387000</x:v>
      </x:c>
      <x:c r="I54" s="7" t="n">
        <x:v>47</x:v>
      </x:c>
      <x:c r="J54" s="8" t="n">
        <x:f>IF(D54="Vendita",H54/I54,"")</x:f>
        <x:v>8234.04255319149</x:v>
      </x:c>
      <x:c r="K54" s="8" t="str">
        <x:f>IF(D54="Affitto",H54/I54,"")</x:f>
      </x:c>
      <x:c r="L54" s="3" t="n">
        <x:v>2</x:v>
      </x:c>
      <x:c r="M54" s="3" t="n">
        <x:v>1</x:v>
      </x:c>
      <x:c r="N54" s="3" t="str">
        <x:v>Piano rialzato</x:v>
      </x:c>
      <x:c r="O54" s="3" t="str">
        <x:v>Nuovo</x:v>
      </x:c>
      <x:c r="P54" s="3" t="str">
        <x:v>Lusso</x:v>
      </x:c>
      <x:c r="Q54" s="3" t="str">
        <x:v>Sì</x:v>
      </x:c>
      <x:c r="R54" s="3" t="str">
        <x:v>No</x:v>
      </x:c>
      <x:c r="S54" s="3" t="str">
        <x:v>No</x:v>
      </x:c>
      <x:c r="T54" s="3" t="str">
        <x:v>Sì</x:v>
      </x:c>
      <x:c r="U54" s="3" t="str">
        <x:v>N/D</x:v>
      </x:c>
      <x:c r="V54" s="3" t="str">
        <x:v>N/D</x:v>
      </x:c>
      <x:c r="W54" s="3" t="str">
        <x:v>N/D</x:v>
      </x:c>
      <x:c r="X54" s="9" t="n">
        <x:v>46217</x:v>
      </x:c>
      <x:c r="Y54" s="3" t="str">
        <x:v>N/D</x:v>
      </x:c>
      <x:c r="Z54" s="3" t="str">
        <x:v>Ultimo aggiornamento esposto</x:v>
      </x:c>
      <x:c r="AA54" s="3" t="str">
        <x:v>N/D</x:v>
      </x:c>
      <x:c r="AB54" s="9" t="n">
        <x:v>46270</x:v>
      </x:c>
      <x:c r="AC54" s="3" t="str">
        <x:v>Dettaglio annuncio</x:v>
      </x:c>
      <x:c r="AD54" s="3" t="str">
        <x:v>Prima pubblicazione non esposta. Prezzo richiesto; aggiornamento distinto dalla rilevazione.</x:v>
      </x:c>
      <x:c r="AE54" s="3" t="str">
        <x:v>C</x:v>
      </x:c>
      <x:c r="AF54" s="3" t="str">
        <x:v>Classe dichiarata</x:v>
      </x:c>
      <x:c r="AG54" s="9" t="n">
        <x:v>46270</x:v>
      </x:c>
    </x:row>
    <x:row r="55" ht="48" customHeight="1">
      <x:c r="A55" s="3" t="n">
        <x:v>254</x:v>
      </x:c>
      <x:c r="B55" s="3" t="n">
        <x:v>128571680</x:v>
      </x:c>
      <x:c r="C55" s="3" t="str">
        <x:v>Immobiliare.it</x:v>
      </x:c>
      <x:c r="D55" s="3" t="str">
        <x:v>Vendita</x:v>
      </x:c>
      <x:c r="E55" s="3" t="str">
        <x:v>Comasina</x:v>
      </x:c>
      <x:c r="F55" s="3" t="str">
        <x:v>via Litta Modignani 114</x:v>
      </x:c>
      <x:c r="G55" s="3" t="str">
        <x:v>Villa a schiera</x:v>
      </x:c>
      <x:c r="H55" s="6" t="n">
        <x:v>620000</x:v>
      </x:c>
      <x:c r="I55" s="7" t="n">
        <x:v>130</x:v>
      </x:c>
      <x:c r="J55" s="8" t="n">
        <x:f>IF(D55="Vendita",H55/I55,"")</x:f>
        <x:v>4769.2307692307695</x:v>
      </x:c>
      <x:c r="K55" s="8" t="str">
        <x:f>IF(D55="Affitto",H55/I55,"")</x:f>
      </x:c>
      <x:c r="L55" s="3" t="n">
        <x:v>4</x:v>
      </x:c>
      <x:c r="M55" s="3" t="n">
        <x:v>2</x:v>
      </x:c>
      <x:c r="N55" s="3" t="str">
        <x:v>Piano terra</x:v>
      </x:c>
      <x:c r="O55" s="3" t="str">
        <x:v>N/D</x:v>
      </x:c>
      <x:c r="P55" s="3" t="str">
        <x:v>N/D</x:v>
      </x:c>
      <x:c r="Q55" s="3" t="str">
        <x:v>No</x:v>
      </x:c>
      <x:c r="R55" s="3" t="str">
        <x:v>No</x:v>
      </x:c>
      <x:c r="S55" s="3" t="str">
        <x:v>No</x:v>
      </x:c>
      <x:c r="T55" s="3" t="str">
        <x:v>No</x:v>
      </x:c>
      <x:c r="U55" s="3" t="str">
        <x:v>N/D</x:v>
      </x:c>
      <x:c r="V55" s="3" t="str">
        <x:v>1 in box privato/box in garage</x:v>
      </x:c>
      <x:c r="W55" s="3" t="str">
        <x:v>N/D</x:v>
      </x:c>
      <x:c r="X55" s="9" t="n">
        <x:v>46269</x:v>
      </x:c>
      <x:c r="Y55" s="3" t="str">
        <x:v>N/D</x:v>
      </x:c>
      <x:c r="Z55" s="3" t="str">
        <x:v>Ultimo aggiornamento esposto</x:v>
      </x:c>
      <x:c r="AA55" s="3" t="str">
        <x:v>N/D</x:v>
      </x:c>
      <x:c r="AB55" s="9" t="n">
        <x:v>46270</x:v>
      </x:c>
      <x:c r="AC55" s="3" t="str">
        <x:v>Dettaglio annuncio</x:v>
      </x:c>
      <x:c r="AD55" s="3" t="str">
        <x:v>Prima pubblicazione non esposta. Prezzo richiesto; aggiornamento distinto dalla rilevazione.</x:v>
      </x:c>
      <x:c r="AE55" s="3" t="str">
        <x:v>N/D</x:v>
      </x:c>
      <x:c r="AF55" s="3" t="str">
        <x:v>Classe non dichiarata nel testo consultato</x:v>
      </x:c>
      <x:c r="AG55" s="9" t="n">
        <x:v>46270</x:v>
      </x:c>
    </x:row>
    <x:row r="56" ht="48" customHeight="1">
      <x:c r="A56" s="3" t="n">
        <x:v>255</x:v>
      </x:c>
      <x:c r="B56" s="3" t="n">
        <x:v>131963854</x:v>
      </x:c>
      <x:c r="C56" s="3" t="str">
        <x:v>Immobiliare.it</x:v>
      </x:c>
      <x:c r="D56" s="3" t="str">
        <x:v>Vendita</x:v>
      </x:c>
      <x:c r="E56" s="3" t="str">
        <x:v>Duomo</x:v>
      </x:c>
      <x:c r="F56" s="3" t="str">
        <x:v>piazza Filippo Meda</x:v>
      </x:c>
      <x:c r="G56" s="3" t="str">
        <x:v>Bilocale</x:v>
      </x:c>
      <x:c r="H56" s="6" t="n">
        <x:v>798000</x:v>
      </x:c>
      <x:c r="I56" s="7" t="n">
        <x:v>82</x:v>
      </x:c>
      <x:c r="J56" s="8" t="n">
        <x:f>IF(D56="Vendita",H56/I56,"")</x:f>
        <x:v>9731.707317073171</x:v>
      </x:c>
      <x:c r="K56" s="8" t="str">
        <x:f>IF(D56="Affitto",H56/I56,"")</x:f>
      </x:c>
      <x:c r="L56" s="3" t="n">
        <x:v>2</x:v>
      </x:c>
      <x:c r="M56" s="3" t="n">
        <x:v>1</x:v>
      </x:c>
      <x:c r="N56" s="3" t="str">
        <x:v>2</x:v>
      </x:c>
      <x:c r="O56" s="3" t="str">
        <x:v>Buono stato</x:v>
      </x:c>
      <x:c r="P56" s="3" t="str">
        <x:v>Lusso</x:v>
      </x:c>
      <x:c r="Q56" s="3" t="str">
        <x:v>No</x:v>
      </x:c>
      <x:c r="R56" s="3" t="str">
        <x:v>Sì</x:v>
      </x:c>
      <x:c r="S56" s="3" t="str">
        <x:v>No</x:v>
      </x:c>
      <x:c r="T56" s="3" t="str">
        <x:v>No</x:v>
      </x:c>
      <x:c r="U56" s="3" t="str">
        <x:v>N/D</x:v>
      </x:c>
      <x:c r="V56" s="3" t="str">
        <x:v>N/D</x:v>
      </x:c>
      <x:c r="W56" s="3" t="str">
        <x:v>N/D</x:v>
      </x:c>
      <x:c r="X56" s="9" t="n">
        <x:v>46261</x:v>
      </x:c>
      <x:c r="Y56" s="3" t="str">
        <x:v>N/D</x:v>
      </x:c>
      <x:c r="Z56" s="3" t="str">
        <x:v>Ultimo aggiornamento esposto</x:v>
      </x:c>
      <x:c r="AA56" s="3" t="str">
        <x:v>N/D</x:v>
      </x:c>
      <x:c r="AB56" s="9" t="n">
        <x:v>46270</x:v>
      </x:c>
      <x:c r="AC56" s="3" t="str">
        <x:v>Dettaglio annuncio</x:v>
      </x:c>
      <x:c r="AD56" s="3" t="str">
        <x:v>Prima pubblicazione non esposta. Prezzo richiesto; aggiornamento distinto dalla rilevazione.</x:v>
      </x:c>
      <x:c r="AE56" s="3" t="str">
        <x:v>E</x:v>
      </x:c>
      <x:c r="AF56" s="3" t="str">
        <x:v>Classe dichiarata</x:v>
      </x:c>
      <x:c r="AG56" s="9" t="n">
        <x:v>46270</x:v>
      </x:c>
    </x:row>
    <x:row r="57" ht="48" customHeight="1">
      <x:c r="A57" s="3" t="n">
        <x:v>256</x:v>
      </x:c>
      <x:c r="B57" s="3" t="n">
        <x:v>128836962</x:v>
      </x:c>
      <x:c r="C57" s="3" t="str">
        <x:v>Immobiliare.it</x:v>
      </x:c>
      <x:c r="D57" s="3" t="str">
        <x:v>Vendita</x:v>
      </x:c>
      <x:c r="E57" s="3" t="str">
        <x:v>Duomo</x:v>
      </x:c>
      <x:c r="F57" s="3" t="str">
        <x:v>via Broletto 37</x:v>
      </x:c>
      <x:c r="G57" s="3" t="str">
        <x:v>Trilocale</x:v>
      </x:c>
      <x:c r="H57" s="6" t="n">
        <x:v>1150000</x:v>
      </x:c>
      <x:c r="I57" s="7" t="n">
        <x:v>136</x:v>
      </x:c>
      <x:c r="J57" s="8" t="n">
        <x:f>IF(D57="Vendita",H57/I57,"")</x:f>
        <x:v>8455.882352941177</x:v>
      </x:c>
      <x:c r="K57" s="8" t="str">
        <x:f>IF(D57="Affitto",H57/I57,"")</x:f>
      </x:c>
      <x:c r="L57" s="3" t="n">
        <x:v>3</x:v>
      </x:c>
      <x:c r="M57" s="3" t="n">
        <x:v>3</x:v>
      </x:c>
      <x:c r="N57" s="3" t="str">
        <x:v>Piano rialzato</x:v>
      </x:c>
      <x:c r="O57" s="3" t="str">
        <x:v>Ottimo stato</x:v>
      </x:c>
      <x:c r="P57" s="3" t="str">
        <x:v>Lusso</x:v>
      </x:c>
      <x:c r="Q57" s="3" t="str">
        <x:v>Sì</x:v>
      </x:c>
      <x:c r="R57" s="3" t="str">
        <x:v>No</x:v>
      </x:c>
      <x:c r="S57" s="3" t="str">
        <x:v>No</x:v>
      </x:c>
      <x:c r="T57" s="3" t="str">
        <x:v>Sì</x:v>
      </x:c>
      <x:c r="U57" s="3" t="str">
        <x:v>N/D</x:v>
      </x:c>
      <x:c r="V57" s="3" t="str">
        <x:v>N/D</x:v>
      </x:c>
      <x:c r="W57" s="3" t="str">
        <x:v>N/D</x:v>
      </x:c>
      <x:c r="X57" s="9" t="n">
        <x:v>46196</x:v>
      </x:c>
      <x:c r="Y57" s="3" t="str">
        <x:v>N/D</x:v>
      </x:c>
      <x:c r="Z57" s="3" t="str">
        <x:v>Ultimo aggiornamento esposto</x:v>
      </x:c>
      <x:c r="AA57" s="3" t="str">
        <x:v>N/D</x:v>
      </x:c>
      <x:c r="AB57" s="9" t="n">
        <x:v>46270</x:v>
      </x:c>
      <x:c r="AC57" s="3" t="str">
        <x:v>Dettaglio annuncio</x:v>
      </x:c>
      <x:c r="AD57" s="3" t="str">
        <x:v>Prima pubblicazione non esposta. Prezzo richiesto; aggiornamento distinto dalla rilevazione.</x:v>
      </x:c>
      <x:c r="AE57" s="3" t="str">
        <x:v>D</x:v>
      </x:c>
      <x:c r="AF57" s="3" t="str">
        <x:v>Classe dichiarata</x:v>
      </x:c>
      <x:c r="AG57" s="9" t="n">
        <x:v>46270</x:v>
      </x:c>
    </x:row>
    <x:row r="58" ht="48" customHeight="1">
      <x:c r="A58" s="3" t="n">
        <x:v>257</x:v>
      </x:c>
      <x:c r="B58" s="3" t="n">
        <x:v>131434094</x:v>
      </x:c>
      <x:c r="C58" s="3" t="str">
        <x:v>Immobiliare.it</x:v>
      </x:c>
      <x:c r="D58" s="3" t="str">
        <x:v>Vendita</x:v>
      </x:c>
      <x:c r="E58" s="3" t="str">
        <x:v>Duomo</x:v>
      </x:c>
      <x:c r="F58" s="3" t="str">
        <x:v>via Broletto 39</x:v>
      </x:c>
      <x:c r="G58" s="3" t="str">
        <x:v>Bilocale</x:v>
      </x:c>
      <x:c r="H58" s="6" t="n">
        <x:v>825000</x:v>
      </x:c>
      <x:c r="I58" s="7" t="n">
        <x:v>55</x:v>
      </x:c>
      <x:c r="J58" s="8" t="n">
        <x:f>IF(D58="Vendita",H58/I58,"")</x:f>
        <x:v>15000</x:v>
      </x:c>
      <x:c r="K58" s="8" t="str">
        <x:f>IF(D58="Affitto",H58/I58,"")</x:f>
      </x:c>
      <x:c r="L58" s="3" t="n">
        <x:v>2</x:v>
      </x:c>
      <x:c r="M58" s="3" t="n">
        <x:v>1</x:v>
      </x:c>
      <x:c r="N58" s="3" t="str">
        <x:v>1</x:v>
      </x:c>
      <x:c r="O58" s="3" t="str">
        <x:v>Ottimo stato</x:v>
      </x:c>
      <x:c r="P58" s="3" t="str">
        <x:v>Lusso</x:v>
      </x:c>
      <x:c r="Q58" s="3" t="str">
        <x:v>Sì</x:v>
      </x:c>
      <x:c r="R58" s="3" t="str">
        <x:v>Sì</x:v>
      </x:c>
      <x:c r="S58" s="3" t="str">
        <x:v>No</x:v>
      </x:c>
      <x:c r="T58" s="3" t="str">
        <x:v>Sì</x:v>
      </x:c>
      <x:c r="U58" s="3" t="str">
        <x:v>Sì</x:v>
      </x:c>
      <x:c r="V58" s="3" t="str">
        <x:v>N/D</x:v>
      </x:c>
      <x:c r="W58" s="3" t="str">
        <x:v>N/D</x:v>
      </x:c>
      <x:c r="X58" s="9" t="n">
        <x:v>46233</x:v>
      </x:c>
      <x:c r="Y58" s="3" t="str">
        <x:v>N/D</x:v>
      </x:c>
      <x:c r="Z58" s="3" t="str">
        <x:v>Ultimo aggiornamento esposto</x:v>
      </x:c>
      <x:c r="AA58" s="3" t="str">
        <x:v>N/D</x:v>
      </x:c>
      <x:c r="AB58" s="9" t="n">
        <x:v>46270</x:v>
      </x:c>
      <x:c r="AC58" s="3" t="str">
        <x:v>Dettaglio annuncio</x:v>
      </x:c>
      <x:c r="AD58" s="3" t="str">
        <x:v>Prima pubblicazione non esposta. Prezzo richiesto; aggiornamento distinto dalla rilevazione.</x:v>
      </x:c>
      <x:c r="AE58" s="3" t="str">
        <x:v>G</x:v>
      </x:c>
      <x:c r="AF58" s="3" t="str">
        <x:v>Classe dichiarata</x:v>
      </x:c>
      <x:c r="AG58" s="9" t="n">
        <x:v>46270</x:v>
      </x:c>
    </x:row>
    <x:row r="59" ht="48" customHeight="1">
      <x:c r="A59" s="3" t="n">
        <x:v>258</x:v>
      </x:c>
      <x:c r="B59" s="3" t="n">
        <x:v>127345273</x:v>
      </x:c>
      <x:c r="C59" s="3" t="str">
        <x:v>Immobiliare.it</x:v>
      </x:c>
      <x:c r="D59" s="3" t="str">
        <x:v>Vendita</x:v>
      </x:c>
      <x:c r="E59" s="3" t="str">
        <x:v>Duomo</x:v>
      </x:c>
      <x:c r="F59" s="3" t="str">
        <x:v>via Broletto 41</x:v>
      </x:c>
      <x:c r="G59" s="3" t="str">
        <x:v>Monolocale</x:v>
      </x:c>
      <x:c r="H59" s="6" t="n">
        <x:v>500000</x:v>
      </x:c>
      <x:c r="I59" s="7" t="n">
        <x:v>54</x:v>
      </x:c>
      <x:c r="J59" s="8" t="n">
        <x:f>IF(D59="Vendita",H59/I59,"")</x:f>
        <x:v>9259.25925925926</x:v>
      </x:c>
      <x:c r="K59" s="8" t="str">
        <x:f>IF(D59="Affitto",H59/I59,"")</x:f>
      </x:c>
      <x:c r="L59" s="3" t="n">
        <x:v>1</x:v>
      </x:c>
      <x:c r="M59" s="3" t="n">
        <x:v>1</x:v>
      </x:c>
      <x:c r="N59" s="3" t="str">
        <x:v>1</x:v>
      </x:c>
      <x:c r="O59" s="3" t="str">
        <x:v>Ottimo stato</x:v>
      </x:c>
      <x:c r="P59" s="3" t="str">
        <x:v>Lusso</x:v>
      </x:c>
      <x:c r="Q59" s="3" t="str">
        <x:v>No</x:v>
      </x:c>
      <x:c r="R59" s="3" t="str">
        <x:v>No</x:v>
      </x:c>
      <x:c r="S59" s="3" t="str">
        <x:v>Sì</x:v>
      </x:c>
      <x:c r="T59" s="3" t="str">
        <x:v>Sì</x:v>
      </x:c>
      <x:c r="U59" s="3" t="str">
        <x:v>N/D</x:v>
      </x:c>
      <x:c r="V59" s="3" t="str">
        <x:v>N/D</x:v>
      </x:c>
      <x:c r="W59" s="3" t="str">
        <x:v>N/D</x:v>
      </x:c>
      <x:c r="X59" s="9" t="n">
        <x:v>46267</x:v>
      </x:c>
      <x:c r="Y59" s="3" t="str">
        <x:v>N/D</x:v>
      </x:c>
      <x:c r="Z59" s="3" t="str">
        <x:v>Ultimo aggiornamento esposto</x:v>
      </x:c>
      <x:c r="AA59" s="3" t="str">
        <x:v>N/D</x:v>
      </x:c>
      <x:c r="AB59" s="9" t="n">
        <x:v>46270</x:v>
      </x:c>
      <x:c r="AC59" s="3" t="str">
        <x:v>Dettaglio annuncio</x:v>
      </x:c>
      <x:c r="AD59" s="3" t="str">
        <x:v>Prima pubblicazione non esposta. Prezzo richiesto; aggiornamento distinto dalla rilevazione.</x:v>
      </x:c>
      <x:c r="AE59" s="3" t="str">
        <x:v>E</x:v>
      </x:c>
      <x:c r="AF59" s="3" t="str">
        <x:v>Classe dichiarata</x:v>
      </x:c>
      <x:c r="AG59" s="9" t="n">
        <x:v>46270</x:v>
      </x:c>
    </x:row>
    <x:row r="60" ht="48" customHeight="1">
      <x:c r="A60" s="3" t="n">
        <x:v>259</x:v>
      </x:c>
      <x:c r="B60" s="3" t="n">
        <x:v>131043486</x:v>
      </x:c>
      <x:c r="C60" s="3" t="str">
        <x:v>Immobiliare.it</x:v>
      </x:c>
      <x:c r="D60" s="3" t="str">
        <x:v>Vendita</x:v>
      </x:c>
      <x:c r="E60" s="3" t="str">
        <x:v>Melchiorre Gioia</x:v>
      </x:c>
      <x:c r="F60" s="3" t="str">
        <x:v>via Luigi Galvani 15</x:v>
      </x:c>
      <x:c r="G60" s="3" t="str">
        <x:v>Trilocale</x:v>
      </x:c>
      <x:c r="H60" s="6" t="n">
        <x:v>519000</x:v>
      </x:c>
      <x:c r="I60" s="7" t="n">
        <x:v>68</x:v>
      </x:c>
      <x:c r="J60" s="8" t="n">
        <x:f>IF(D60="Vendita",H60/I60,"")</x:f>
        <x:v>7632.35294117647</x:v>
      </x:c>
      <x:c r="K60" s="8" t="str">
        <x:f>IF(D60="Affitto",H60/I60,"")</x:f>
      </x:c>
      <x:c r="L60" s="3" t="n">
        <x:v>3</x:v>
      </x:c>
      <x:c r="M60" s="3" t="n">
        <x:v>1</x:v>
      </x:c>
      <x:c r="N60" s="3" t="str">
        <x:v>2</x:v>
      </x:c>
      <x:c r="O60" s="3" t="str">
        <x:v>Ottimo stato</x:v>
      </x:c>
      <x:c r="P60" s="3" t="str">
        <x:v>Lusso</x:v>
      </x:c>
      <x:c r="Q60" s="3" t="str">
        <x:v>Sì</x:v>
      </x:c>
      <x:c r="R60" s="3" t="str">
        <x:v>Sì</x:v>
      </x:c>
      <x:c r="S60" s="3" t="str">
        <x:v>No</x:v>
      </x:c>
      <x:c r="T60" s="3" t="str">
        <x:v>Sì</x:v>
      </x:c>
      <x:c r="U60" s="3" t="str">
        <x:v>N/D</x:v>
      </x:c>
      <x:c r="V60" s="3" t="str">
        <x:v>N/D</x:v>
      </x:c>
      <x:c r="W60" s="3" t="str">
        <x:v>N/D</x:v>
      </x:c>
      <x:c r="X60" s="9" t="n">
        <x:v>46255</x:v>
      </x:c>
      <x:c r="Y60" s="3" t="str">
        <x:v>N/D</x:v>
      </x:c>
      <x:c r="Z60" s="3" t="str">
        <x:v>Ultimo aggiornamento esposto</x:v>
      </x:c>
      <x:c r="AA60" s="3" t="str">
        <x:v>N/D</x:v>
      </x:c>
      <x:c r="AB60" s="9" t="n">
        <x:v>46270</x:v>
      </x:c>
      <x:c r="AC60" s="3" t="str">
        <x:v>Dettaglio annuncio</x:v>
      </x:c>
      <x:c r="AD60" s="3" t="str">
        <x:v>Prima pubblicazione non esposta. Prezzo richiesto; aggiornamento distinto dalla rilevazione.</x:v>
      </x:c>
      <x:c r="AE60" s="3" t="str">
        <x:v>D</x:v>
      </x:c>
      <x:c r="AF60" s="3" t="str">
        <x:v>Classe dichiarata</x:v>
      </x:c>
      <x:c r="AG60" s="9" t="n">
        <x:v>46270</x:v>
      </x:c>
    </x:row>
    <x:row r="61" ht="48" customHeight="1">
      <x:c r="A61" s="3" t="n">
        <x:v>260</x:v>
      </x:c>
      <x:c r="B61" s="3" t="n">
        <x:v>128922022</x:v>
      </x:c>
      <x:c r="C61" s="3" t="str">
        <x:v>Immobiliare.it</x:v>
      </x:c>
      <x:c r="D61" s="3" t="str">
        <x:v>Vendita</x:v>
      </x:c>
      <x:c r="E61" s="3" t="str">
        <x:v>Moscova</x:v>
      </x:c>
      <x:c r="F61" s="3" t="str">
        <x:v>via Solferino 43</x:v>
      </x:c>
      <x:c r="G61" s="3" t="str">
        <x:v>Trilocale</x:v>
      </x:c>
      <x:c r="H61" s="6" t="n">
        <x:v>1390000</x:v>
      </x:c>
      <x:c r="I61" s="7" t="n">
        <x:v>106</x:v>
      </x:c>
      <x:c r="J61" s="8" t="n">
        <x:f>IF(D61="Vendita",H61/I61,"")</x:f>
        <x:v>13113.207547169812</x:v>
      </x:c>
      <x:c r="K61" s="8" t="str">
        <x:f>IF(D61="Affitto",H61/I61,"")</x:f>
      </x:c>
      <x:c r="L61" s="3" t="n">
        <x:v>3</x:v>
      </x:c>
      <x:c r="M61" s="3" t="n">
        <x:v>2</x:v>
      </x:c>
      <x:c r="N61" s="3" t="str">
        <x:v>1</x:v>
      </x:c>
      <x:c r="O61" s="3" t="str">
        <x:v>Ottimo stato</x:v>
      </x:c>
      <x:c r="P61" s="3" t="str">
        <x:v>Lusso</x:v>
      </x:c>
      <x:c r="Q61" s="3" t="str">
        <x:v>Sì</x:v>
      </x:c>
      <x:c r="R61" s="3" t="str">
        <x:v>No</x:v>
      </x:c>
      <x:c r="S61" s="3" t="str">
        <x:v>No</x:v>
      </x:c>
      <x:c r="T61" s="3" t="str">
        <x:v>Sì</x:v>
      </x:c>
      <x:c r="U61" s="3" t="str">
        <x:v>Sì</x:v>
      </x:c>
      <x:c r="V61" s="3" t="str">
        <x:v>N/D</x:v>
      </x:c>
      <x:c r="W61" s="3" t="str">
        <x:v>N/D</x:v>
      </x:c>
      <x:c r="X61" s="9" t="n">
        <x:v>46150</x:v>
      </x:c>
      <x:c r="Y61" s="3" t="str">
        <x:v>N/D</x:v>
      </x:c>
      <x:c r="Z61" s="3" t="str">
        <x:v>Ultimo aggiornamento esposto</x:v>
      </x:c>
      <x:c r="AA61" s="3" t="str">
        <x:v>N/D</x:v>
      </x:c>
      <x:c r="AB61" s="9" t="n">
        <x:v>46270</x:v>
      </x:c>
      <x:c r="AC61" s="3" t="str">
        <x:v>Dettaglio annuncio</x:v>
      </x:c>
      <x:c r="AD61" s="3" t="str">
        <x:v>Prima pubblicazione non esposta. Prezzo richiesto; aggiornamento distinto dalla rilevazione.</x:v>
      </x:c>
      <x:c r="AE61" s="3" t="str">
        <x:v>B</x:v>
      </x:c>
      <x:c r="AF61" s="3" t="str">
        <x:v>Classe dichiarata</x:v>
      </x:c>
      <x:c r="AG61" s="9" t="n">
        <x:v>46270</x:v>
      </x:c>
    </x:row>
    <x:row r="62" ht="48" customHeight="1">
      <x:c r="A62" s="3" t="n">
        <x:v>261</x:v>
      </x:c>
      <x:c r="B62" s="3" t="n">
        <x:v>129949648</x:v>
      </x:c>
      <x:c r="C62" s="3" t="str">
        <x:v>Immobiliare.it</x:v>
      </x:c>
      <x:c r="D62" s="3" t="str">
        <x:v>Vendita</x:v>
      </x:c>
      <x:c r="E62" s="3" t="str">
        <x:v>Moscova</x:v>
      </x:c>
      <x:c r="F62" s="3" t="str">
        <x:v>via Solferino 46</x:v>
      </x:c>
      <x:c r="G62" s="3" t="str">
        <x:v>Appartamento</x:v>
      </x:c>
      <x:c r="H62" s="6" t="n">
        <x:v>590000</x:v>
      </x:c>
      <x:c r="I62" s="7" t="n">
        <x:v>40</x:v>
      </x:c>
      <x:c r="J62" s="8" t="n">
        <x:f>IF(D62="Vendita",H62/I62,"")</x:f>
        <x:v>14750</x:v>
      </x:c>
      <x:c r="K62" s="8" t="str">
        <x:f>IF(D62="Affitto",H62/I62,"")</x:f>
      </x:c>
      <x:c r="L62" s="3" t="n">
        <x:v>1</x:v>
      </x:c>
      <x:c r="M62" s="3" t="n">
        <x:v>1</x:v>
      </x:c>
      <x:c r="N62" s="3" t="str">
        <x:v>2</x:v>
      </x:c>
      <x:c r="O62" s="3" t="str">
        <x:v>Ottimo stato</x:v>
      </x:c>
      <x:c r="P62" s="3" t="str">
        <x:v>Lusso</x:v>
      </x:c>
      <x:c r="Q62" s="3" t="str">
        <x:v>Sì</x:v>
      </x:c>
      <x:c r="R62" s="3" t="str">
        <x:v>N/D</x:v>
      </x:c>
      <x:c r="S62" s="3" t="str">
        <x:v>N/D</x:v>
      </x:c>
      <x:c r="T62" s="3" t="str">
        <x:v>Parzialmente Arredato</x:v>
      </x:c>
      <x:c r="U62" s="3" t="str">
        <x:v>N/D</x:v>
      </x:c>
      <x:c r="V62" s="3" t="str">
        <x:v>N/D</x:v>
      </x:c>
      <x:c r="W62" s="3" t="str">
        <x:v>N/D</x:v>
      </x:c>
      <x:c r="X62" s="9" t="n">
        <x:v>46229</x:v>
      </x:c>
      <x:c r="Y62" s="3" t="str">
        <x:v>N/D</x:v>
      </x:c>
      <x:c r="Z62" s="3" t="str">
        <x:v>Ultimo aggiornamento esposto</x:v>
      </x:c>
      <x:c r="AA62" s="3" t="str">
        <x:v>N/D</x:v>
      </x:c>
      <x:c r="AB62" s="9" t="n">
        <x:v>46270</x:v>
      </x:c>
      <x:c r="AC62" s="3" t="str">
        <x:v>Dettaglio annuncio</x:v>
      </x:c>
      <x:c r="AD62" s="3" t="str">
        <x:v>Prima pubblicazione non esposta. Prezzo richiesto; aggiornamento distinto dalla rilevazione.</x:v>
      </x:c>
      <x:c r="AE62" s="3" t="str">
        <x:v>C</x:v>
      </x:c>
      <x:c r="AF62" s="3" t="str">
        <x:v>Classe dichiarata</x:v>
      </x:c>
      <x:c r="AG62" s="9" t="n">
        <x:v>46270</x:v>
      </x:c>
    </x:row>
    <x:row r="63" ht="48" customHeight="1">
      <x:c r="A63" s="3" t="n">
        <x:v>262</x:v>
      </x:c>
      <x:c r="B63" s="3" t="n">
        <x:v>130712022</x:v>
      </x:c>
      <x:c r="C63" s="3" t="str">
        <x:v>Immobiliare.it</x:v>
      </x:c>
      <x:c r="D63" s="3" t="str">
        <x:v>Vendita</x:v>
      </x:c>
      <x:c r="E63" s="3" t="str">
        <x:v>Moscova</x:v>
      </x:c>
      <x:c r="F63" s="3" t="str">
        <x:v>via Solferino 56</x:v>
      </x:c>
      <x:c r="G63" s="3" t="str">
        <x:v>Trilocale</x:v>
      </x:c>
      <x:c r="H63" s="6" t="n">
        <x:v>980000</x:v>
      </x:c>
      <x:c r="I63" s="7" t="n">
        <x:v>93</x:v>
      </x:c>
      <x:c r="J63" s="8" t="n">
        <x:f>IF(D63="Vendita",H63/I63,"")</x:f>
        <x:v>10537.63440860215</x:v>
      </x:c>
      <x:c r="K63" s="8" t="str">
        <x:f>IF(D63="Affitto",H63/I63,"")</x:f>
      </x:c>
      <x:c r="L63" s="3" t="n">
        <x:v>3</x:v>
      </x:c>
      <x:c r="M63" s="3" t="n">
        <x:v>1</x:v>
      </x:c>
      <x:c r="N63" s="3" t="str">
        <x:v>2</x:v>
      </x:c>
      <x:c r="O63" s="3" t="str">
        <x:v>Ottimo stato</x:v>
      </x:c>
      <x:c r="P63" s="3" t="str">
        <x:v>Lusso</x:v>
      </x:c>
      <x:c r="Q63" s="3" t="str">
        <x:v>Sì</x:v>
      </x:c>
      <x:c r="R63" s="3" t="str">
        <x:v>No</x:v>
      </x:c>
      <x:c r="S63" s="3" t="str">
        <x:v>No</x:v>
      </x:c>
      <x:c r="T63" s="3" t="str">
        <x:v>Parzialmente Arredato</x:v>
      </x:c>
      <x:c r="U63" s="3" t="str">
        <x:v>N/D</x:v>
      </x:c>
      <x:c r="V63" s="3" t="str">
        <x:v>N/D</x:v>
      </x:c>
      <x:c r="W63" s="3" t="str">
        <x:v>N/D</x:v>
      </x:c>
      <x:c r="X63" s="9" t="n">
        <x:v>46210</x:v>
      </x:c>
      <x:c r="Y63" s="3" t="str">
        <x:v>N/D</x:v>
      </x:c>
      <x:c r="Z63" s="3" t="str">
        <x:v>Ultimo aggiornamento esposto</x:v>
      </x:c>
      <x:c r="AA63" s="3" t="str">
        <x:v>N/D</x:v>
      </x:c>
      <x:c r="AB63" s="9" t="n">
        <x:v>46270</x:v>
      </x:c>
      <x:c r="AC63" s="3" t="str">
        <x:v>Dettaglio annuncio</x:v>
      </x:c>
      <x:c r="AD63" s="3" t="str">
        <x:v>Prima pubblicazione non esposta. Prezzo richiesto; aggiornamento distinto dalla rilevazione.</x:v>
      </x:c>
      <x:c r="AE63" s="3" t="str">
        <x:v>D</x:v>
      </x:c>
      <x:c r="AF63" s="3" t="str">
        <x:v>Classe dichiarata</x:v>
      </x:c>
      <x:c r="AG63" s="9" t="n">
        <x:v>46270</x:v>
      </x:c>
    </x:row>
    <x:row r="64" ht="48" customHeight="1">
      <x:c r="A64" s="3" t="n">
        <x:v>263</x:v>
      </x:c>
      <x:c r="B64" s="3" t="n">
        <x:v>129948392</x:v>
      </x:c>
      <x:c r="C64" s="3" t="str">
        <x:v>Immobiliare.it</x:v>
      </x:c>
      <x:c r="D64" s="3" t="str">
        <x:v>Vendita</x:v>
      </x:c>
      <x:c r="E64" s="3" t="str">
        <x:v>Moscova</x:v>
      </x:c>
      <x:c r="F64" s="3" t="str">
        <x:v>via Solferino, 23</x:v>
      </x:c>
      <x:c r="G64" s="3" t="str">
        <x:v>Trilocale</x:v>
      </x:c>
      <x:c r="H64" s="6" t="n">
        <x:v>3100000</x:v>
      </x:c>
      <x:c r="I64" s="7" t="n">
        <x:v>134</x:v>
      </x:c>
      <x:c r="J64" s="8" t="n">
        <x:f>IF(D64="Vendita",H64/I64,"")</x:f>
        <x:v>23134.328358208953</x:v>
      </x:c>
      <x:c r="K64" s="8" t="str">
        <x:f>IF(D64="Affitto",H64/I64,"")</x:f>
      </x:c>
      <x:c r="L64" s="3" t="n">
        <x:v>3</x:v>
      </x:c>
      <x:c r="M64" s="3" t="n">
        <x:v>3</x:v>
      </x:c>
      <x:c r="N64" s="3" t="str">
        <x:v>2</x:v>
      </x:c>
      <x:c r="O64" s="3" t="str">
        <x:v>Ottimo stato</x:v>
      </x:c>
      <x:c r="P64" s="3" t="str">
        <x:v>Lusso</x:v>
      </x:c>
      <x:c r="Q64" s="3" t="str">
        <x:v>Sì</x:v>
      </x:c>
      <x:c r="R64" s="3" t="str">
        <x:v>Sì</x:v>
      </x:c>
      <x:c r="S64" s="3" t="str">
        <x:v>No</x:v>
      </x:c>
      <x:c r="T64" s="3" t="str">
        <x:v>No</x:v>
      </x:c>
      <x:c r="U64" s="3" t="str">
        <x:v>Sì</x:v>
      </x:c>
      <x:c r="V64" s="3" t="str">
        <x:v>1 in box privato/box in garage</x:v>
      </x:c>
      <x:c r="W64" s="3" t="str">
        <x:v>N/D</x:v>
      </x:c>
      <x:c r="X64" s="9" t="n">
        <x:v>46263</x:v>
      </x:c>
      <x:c r="Y64" s="3" t="str">
        <x:v>N/D</x:v>
      </x:c>
      <x:c r="Z64" s="3" t="str">
        <x:v>Ultimo aggiornamento esposto</x:v>
      </x:c>
      <x:c r="AA64" s="3" t="str">
        <x:v>N/D</x:v>
      </x:c>
      <x:c r="AB64" s="9" t="n">
        <x:v>46270</x:v>
      </x:c>
      <x:c r="AC64" s="3" t="str">
        <x:v>Dettaglio annuncio</x:v>
      </x:c>
      <x:c r="AD64" s="3" t="str">
        <x:v>Prima pubblicazione non esposta. Prezzo richiesto; aggiornamento distinto dalla rilevazione.</x:v>
      </x:c>
      <x:c r="AE64" s="3" t="str">
        <x:v>B</x:v>
      </x:c>
      <x:c r="AF64" s="3" t="str">
        <x:v>Classe dichiarata</x:v>
      </x:c>
      <x:c r="AG64" s="9" t="n">
        <x:v>46270</x:v>
      </x:c>
    </x:row>
    <x:row r="65" ht="48" customHeight="1">
      <x:c r="A65" s="3" t="n">
        <x:v>264</x:v>
      </x:c>
      <x:c r="B65" s="3" t="n">
        <x:v>130177600</x:v>
      </x:c>
      <x:c r="C65" s="3" t="str">
        <x:v>Immobiliare.it</x:v>
      </x:c>
      <x:c r="D65" s="3" t="str">
        <x:v>Vendita</x:v>
      </x:c>
      <x:c r="E65" s="3" t="str">
        <x:v>Porta Venezia</x:v>
      </x:c>
      <x:c r="F65" s="3" t="str">
        <x:v>via Alessandro Tadino 2</x:v>
      </x:c>
      <x:c r="G65" s="3" t="str">
        <x:v>Monolocale</x:v>
      </x:c>
      <x:c r="H65" s="6" t="n">
        <x:v>267000</x:v>
      </x:c>
      <x:c r="I65" s="7" t="n">
        <x:v>27</x:v>
      </x:c>
      <x:c r="J65" s="8" t="n">
        <x:f>IF(D65="Vendita",H65/I65,"")</x:f>
        <x:v>9888.888888888889</x:v>
      </x:c>
      <x:c r="K65" s="8" t="str">
        <x:f>IF(D65="Affitto",H65/I65,"")</x:f>
      </x:c>
      <x:c r="L65" s="3" t="n">
        <x:v>1</x:v>
      </x:c>
      <x:c r="M65" s="3" t="n">
        <x:v>1</x:v>
      </x:c>
      <x:c r="N65" s="3" t="str">
        <x:v>1</x:v>
      </x:c>
      <x:c r="O65" s="3" t="str">
        <x:v>Ottimo stato</x:v>
      </x:c>
      <x:c r="P65" s="3" t="str">
        <x:v>Lusso</x:v>
      </x:c>
      <x:c r="Q65" s="3" t="str">
        <x:v>Sì</x:v>
      </x:c>
      <x:c r="R65" s="3" t="str">
        <x:v>No</x:v>
      </x:c>
      <x:c r="S65" s="3" t="str">
        <x:v>No</x:v>
      </x:c>
      <x:c r="T65" s="3" t="str">
        <x:v>Sì</x:v>
      </x:c>
      <x:c r="U65" s="3" t="str">
        <x:v>N/D</x:v>
      </x:c>
      <x:c r="V65" s="3" t="str">
        <x:v>N/D</x:v>
      </x:c>
      <x:c r="W65" s="3" t="str">
        <x:v>N/D</x:v>
      </x:c>
      <x:c r="X65" s="9" t="n">
        <x:v>46227</x:v>
      </x:c>
      <x:c r="Y65" s="3" t="str">
        <x:v>N/D</x:v>
      </x:c>
      <x:c r="Z65" s="3" t="str">
        <x:v>Ultimo aggiornamento esposto</x:v>
      </x:c>
      <x:c r="AA65" s="3" t="str">
        <x:v>N/D</x:v>
      </x:c>
      <x:c r="AB65" s="9" t="n">
        <x:v>46270</x:v>
      </x:c>
      <x:c r="AC65" s="3" t="str">
        <x:v>Dettaglio annuncio</x:v>
      </x:c>
      <x:c r="AD65" s="3" t="str">
        <x:v>Prima pubblicazione non esposta. Prezzo richiesto; aggiornamento distinto dalla rilevazione.</x:v>
      </x:c>
      <x:c r="AE65" s="3" t="str">
        <x:v>G</x:v>
      </x:c>
      <x:c r="AF65" s="3" t="str">
        <x:v>Classe dichiarata</x:v>
      </x:c>
      <x:c r="AG65" s="9" t="n">
        <x:v>46270</x:v>
      </x:c>
    </x:row>
    <x:row r="66" ht="48" customHeight="1">
      <x:c r="A66" s="3" t="n">
        <x:v>265</x:v>
      </x:c>
      <x:c r="B66" s="3" t="n">
        <x:v>131201168</x:v>
      </x:c>
      <x:c r="C66" s="3" t="str">
        <x:v>Immobiliare.it</x:v>
      </x:c>
      <x:c r="D66" s="3" t="str">
        <x:v>Vendita</x:v>
      </x:c>
      <x:c r="E66" s="3" t="str">
        <x:v>Porta Venezia</x:v>
      </x:c>
      <x:c r="F66" s="3" t="str">
        <x:v>via Rosolino Pilo 12</x:v>
      </x:c>
      <x:c r="G66" s="3" t="str">
        <x:v>Trilocale</x:v>
      </x:c>
      <x:c r="H66" s="6" t="n">
        <x:v>450000</x:v>
      </x:c>
      <x:c r="I66" s="7" t="n">
        <x:v>77</x:v>
      </x:c>
      <x:c r="J66" s="8" t="n">
        <x:f>IF(D66="Vendita",H66/I66,"")</x:f>
        <x:v>5844.1558441558445</x:v>
      </x:c>
      <x:c r="K66" s="8" t="str">
        <x:f>IF(D66="Affitto",H66/I66,"")</x:f>
      </x:c>
      <x:c r="L66" s="3" t="n">
        <x:v>3</x:v>
      </x:c>
      <x:c r="M66" s="3" t="n">
        <x:v>1</x:v>
      </x:c>
      <x:c r="N66" s="3" t="str">
        <x:v>2</x:v>
      </x:c>
      <x:c r="O66" s="3" t="str">
        <x:v>Buono stato</x:v>
      </x:c>
      <x:c r="P66" s="3" t="str">
        <x:v>N/D</x:v>
      </x:c>
      <x:c r="Q66" s="3" t="str">
        <x:v>Sì</x:v>
      </x:c>
      <x:c r="R66" s="3" t="str">
        <x:v>No</x:v>
      </x:c>
      <x:c r="S66" s="3" t="str">
        <x:v>No</x:v>
      </x:c>
      <x:c r="T66" s="3" t="str">
        <x:v>No</x:v>
      </x:c>
      <x:c r="U66" s="3" t="str">
        <x:v>N/D</x:v>
      </x:c>
      <x:c r="V66" s="3" t="str">
        <x:v>N/D</x:v>
      </x:c>
      <x:c r="W66" s="3" t="str">
        <x:v>N/D</x:v>
      </x:c>
      <x:c r="X66" s="9" t="n">
        <x:v>46260</x:v>
      </x:c>
      <x:c r="Y66" s="3" t="str">
        <x:v>N/D</x:v>
      </x:c>
      <x:c r="Z66" s="3" t="str">
        <x:v>Ultimo aggiornamento esposto</x:v>
      </x:c>
      <x:c r="AA66" s="3" t="str">
        <x:v>N/D</x:v>
      </x:c>
      <x:c r="AB66" s="9" t="n">
        <x:v>46270</x:v>
      </x:c>
      <x:c r="AC66" s="3" t="str">
        <x:v>Dettaglio annuncio</x:v>
      </x:c>
      <x:c r="AD66" s="3" t="str">
        <x:v>Prima pubblicazione non esposta. Prezzo richiesto; aggiornamento distinto dalla rilevazione.</x:v>
      </x:c>
      <x:c r="AE66" s="3" t="str">
        <x:v>F</x:v>
      </x:c>
      <x:c r="AF66" s="3" t="str">
        <x:v>Classe dichiarata</x:v>
      </x:c>
      <x:c r="AG66" s="9" t="n">
        <x:v>46270</x:v>
      </x:c>
    </x:row>
    <x:row r="67" ht="48" customHeight="1">
      <x:c r="A67" s="3" t="n">
        <x:v>266</x:v>
      </x:c>
      <x:c r="B67" s="3" t="n">
        <x:v>130814158</x:v>
      </x:c>
      <x:c r="C67" s="3" t="str">
        <x:v>Immobiliare.it</x:v>
      </x:c>
      <x:c r="D67" s="3" t="str">
        <x:v>Vendita</x:v>
      </x:c>
      <x:c r="E67" s="3" t="str">
        <x:v>Porta Venezia</x:v>
      </x:c>
      <x:c r="F67" s="3" t="str">
        <x:v>viale Tunisia 25</x:v>
      </x:c>
      <x:c r="G67" s="3" t="str">
        <x:v>Trilocale</x:v>
      </x:c>
      <x:c r="H67" s="6" t="n">
        <x:v>590000</x:v>
      </x:c>
      <x:c r="I67" s="7" t="n">
        <x:v>95</x:v>
      </x:c>
      <x:c r="J67" s="8" t="n">
        <x:f>IF(D67="Vendita",H67/I67,"")</x:f>
        <x:v>6210.526315789473</x:v>
      </x:c>
      <x:c r="K67" s="8" t="str">
        <x:f>IF(D67="Affitto",H67/I67,"")</x:f>
      </x:c>
      <x:c r="L67" s="3" t="n">
        <x:v>3</x:v>
      </x:c>
      <x:c r="M67" s="3" t="n">
        <x:v>2</x:v>
      </x:c>
      <x:c r="N67" s="3" t="str">
        <x:v>2</x:v>
      </x:c>
      <x:c r="O67" s="3" t="str">
        <x:v>Ottimo stato</x:v>
      </x:c>
      <x:c r="P67" s="3" t="str">
        <x:v>N/D</x:v>
      </x:c>
      <x:c r="Q67" s="3" t="str">
        <x:v>Sì</x:v>
      </x:c>
      <x:c r="R67" s="3" t="str">
        <x:v>Sì</x:v>
      </x:c>
      <x:c r="S67" s="3" t="str">
        <x:v>N/D</x:v>
      </x:c>
      <x:c r="T67" s="3" t="str">
        <x:v>Sì</x:v>
      </x:c>
      <x:c r="U67" s="3" t="str">
        <x:v>Sì</x:v>
      </x:c>
      <x:c r="V67" s="3" t="str">
        <x:v>N/D</x:v>
      </x:c>
      <x:c r="W67" s="3" t="str">
        <x:v>N/D</x:v>
      </x:c>
      <x:c r="X67" s="9" t="n">
        <x:v>46212</x:v>
      </x:c>
      <x:c r="Y67" s="3" t="str">
        <x:v>N/D</x:v>
      </x:c>
      <x:c r="Z67" s="3" t="str">
        <x:v>Ultimo aggiornamento esposto</x:v>
      </x:c>
      <x:c r="AA67" s="3" t="str">
        <x:v>N/D</x:v>
      </x:c>
      <x:c r="AB67" s="9" t="n">
        <x:v>46270</x:v>
      </x:c>
      <x:c r="AC67" s="3" t="str">
        <x:v>Dettaglio annuncio</x:v>
      </x:c>
      <x:c r="AD67" s="3" t="str">
        <x:v>Prima pubblicazione non esposta. Prezzo richiesto; aggiornamento distinto dalla rilevazione.</x:v>
      </x:c>
      <x:c r="AE67" s="3" t="str">
        <x:v>F</x:v>
      </x:c>
      <x:c r="AF67" s="3" t="str">
        <x:v>Classe dichiarata</x:v>
      </x:c>
      <x:c r="AG67" s="9" t="n">
        <x:v>46270</x:v>
      </x:c>
    </x:row>
    <x:row r="68" ht="48" customHeight="1">
      <x:c r="A68" s="3" t="n">
        <x:v>267</x:v>
      </x:c>
      <x:c r="B68" s="3" t="n">
        <x:v>130446552</x:v>
      </x:c>
      <x:c r="C68" s="3" t="str">
        <x:v>Immobiliare.it</x:v>
      </x:c>
      <x:c r="D68" s="3" t="str">
        <x:v>Vendita</x:v>
      </x:c>
      <x:c r="E68" s="3" t="str">
        <x:v>Quadronno - Crocetta</x:v>
      </x:c>
      <x:c r="F68" s="3" t="str">
        <x:v>via Curtatone, 16</x:v>
      </x:c>
      <x:c r="G68" s="3" t="str">
        <x:v>Bilocale</x:v>
      </x:c>
      <x:c r="H68" s="6" t="n">
        <x:v>479000</x:v>
      </x:c>
      <x:c r="I68" s="7" t="n">
        <x:v>47</x:v>
      </x:c>
      <x:c r="J68" s="8" t="n">
        <x:f>IF(D68="Vendita",H68/I68,"")</x:f>
        <x:v>10191.489361702128</x:v>
      </x:c>
      <x:c r="K68" s="8" t="str">
        <x:f>IF(D68="Affitto",H68/I68,"")</x:f>
      </x:c>
      <x:c r="L68" s="3" t="n">
        <x:v>2</x:v>
      </x:c>
      <x:c r="M68" s="3" t="n">
        <x:v>1</x:v>
      </x:c>
      <x:c r="N68" s="3" t="str">
        <x:v>5</x:v>
      </x:c>
      <x:c r="O68" s="3" t="str">
        <x:v>Ottimo stato</x:v>
      </x:c>
      <x:c r="P68" s="3" t="str">
        <x:v>Lusso</x:v>
      </x:c>
      <x:c r="Q68" s="3" t="str">
        <x:v>Sì</x:v>
      </x:c>
      <x:c r="R68" s="3" t="str">
        <x:v>No</x:v>
      </x:c>
      <x:c r="S68" s="3" t="str">
        <x:v>No</x:v>
      </x:c>
      <x:c r="T68" s="3" t="str">
        <x:v>No</x:v>
      </x:c>
      <x:c r="U68" s="3" t="str">
        <x:v>N/D</x:v>
      </x:c>
      <x:c r="V68" s="3" t="str">
        <x:v>N/D</x:v>
      </x:c>
      <x:c r="W68" s="3" t="str">
        <x:v>N/D</x:v>
      </x:c>
      <x:c r="X68" s="9" t="n">
        <x:v>46202</x:v>
      </x:c>
      <x:c r="Y68" s="3" t="str">
        <x:v>N/D</x:v>
      </x:c>
      <x:c r="Z68" s="3" t="str">
        <x:v>Ultimo aggiornamento esposto</x:v>
      </x:c>
      <x:c r="AA68" s="3" t="str">
        <x:v>N/D</x:v>
      </x:c>
      <x:c r="AB68" s="9" t="n">
        <x:v>46270</x:v>
      </x:c>
      <x:c r="AC68" s="3" t="str">
        <x:v>Dettaglio annuncio</x:v>
      </x:c>
      <x:c r="AD68" s="3" t="str">
        <x:v>Prima pubblicazione non esposta. Prezzo richiesto; aggiornamento distinto dalla rilevazione.</x:v>
      </x:c>
      <x:c r="AE68" s="3" t="str">
        <x:v>D</x:v>
      </x:c>
      <x:c r="AF68" s="3" t="str">
        <x:v>Classe dichiarata</x:v>
      </x:c>
      <x:c r="AG68" s="9" t="n">
        <x:v>46270</x:v>
      </x:c>
    </x:row>
    <x:row r="69" ht="48" customHeight="1">
      <x:c r="A69" s="3" t="n">
        <x:v>268</x:v>
      </x:c>
      <x:c r="B69" s="3" t="n">
        <x:v>124796439</x:v>
      </x:c>
      <x:c r="C69" s="3" t="str">
        <x:v>Immobiliare.it</x:v>
      </x:c>
      <x:c r="D69" s="3" t="str">
        <x:v>Vendita</x:v>
      </x:c>
      <x:c r="E69" s="3" t="str">
        <x:v>Quadronno - Crocetta</x:v>
      </x:c>
      <x:c r="F69" s="3" t="str">
        <x:v>viale Emilio Caldara 31</x:v>
      </x:c>
      <x:c r="G69" s="3" t="str">
        <x:v>Quadrilocale</x:v>
      </x:c>
      <x:c r="H69" s="6" t="n">
        <x:v>849000</x:v>
      </x:c>
      <x:c r="I69" s="7" t="n">
        <x:v>140</x:v>
      </x:c>
      <x:c r="J69" s="8" t="n">
        <x:f>IF(D69="Vendita",H69/I69,"")</x:f>
        <x:v>6064.285714285715</x:v>
      </x:c>
      <x:c r="K69" s="8" t="str">
        <x:f>IF(D69="Affitto",H69/I69,"")</x:f>
      </x:c>
      <x:c r="L69" s="3" t="n">
        <x:v>4</x:v>
      </x:c>
      <x:c r="M69" s="3" t="n">
        <x:v>3</x:v>
      </x:c>
      <x:c r="N69" s="3" t="str">
        <x:v>4</x:v>
      </x:c>
      <x:c r="O69" s="3" t="str">
        <x:v>Buono stato</x:v>
      </x:c>
      <x:c r="P69" s="3" t="str">
        <x:v>Lusso</x:v>
      </x:c>
      <x:c r="Q69" s="3" t="str">
        <x:v>Sì</x:v>
      </x:c>
      <x:c r="R69" s="3" t="str">
        <x:v>Sì</x:v>
      </x:c>
      <x:c r="S69" s="3" t="str">
        <x:v>No</x:v>
      </x:c>
      <x:c r="T69" s="3" t="str">
        <x:v>Sì</x:v>
      </x:c>
      <x:c r="U69" s="3" t="str">
        <x:v>Sì</x:v>
      </x:c>
      <x:c r="V69" s="3" t="str">
        <x:v>N/D</x:v>
      </x:c>
      <x:c r="W69" s="3" t="str">
        <x:v>N/D</x:v>
      </x:c>
      <x:c r="X69" s="9" t="n">
        <x:v>46262</x:v>
      </x:c>
      <x:c r="Y69" s="3" t="str">
        <x:v>N/D</x:v>
      </x:c>
      <x:c r="Z69" s="3" t="str">
        <x:v>Ultimo aggiornamento esposto</x:v>
      </x:c>
      <x:c r="AA69" s="3" t="str">
        <x:v>N/D</x:v>
      </x:c>
      <x:c r="AB69" s="9" t="n">
        <x:v>46270</x:v>
      </x:c>
      <x:c r="AC69" s="3" t="str">
        <x:v>Dettaglio annuncio</x:v>
      </x:c>
      <x:c r="AD69" s="3" t="str">
        <x:v>Prima pubblicazione non esposta. Prezzo richiesto; aggiornamento distinto dalla rilevazione.</x:v>
      </x:c>
      <x:c r="AE69" s="3" t="str">
        <x:v>E</x:v>
      </x:c>
      <x:c r="AF69" s="3" t="str">
        <x:v>Classe dichiarata</x:v>
      </x:c>
      <x:c r="AG69" s="9" t="n">
        <x:v>46270</x:v>
      </x:c>
    </x:row>
    <x:row r="70" ht="48" customHeight="1">
      <x:c r="A70" s="3" t="n">
        <x:v>269</x:v>
      </x:c>
      <x:c r="B70" s="3" t="n">
        <x:v>127931704</x:v>
      </x:c>
      <x:c r="C70" s="3" t="str">
        <x:v>Immobiliare.it</x:v>
      </x:c>
      <x:c r="D70" s="3" t="str">
        <x:v>Vendita</x:v>
      </x:c>
      <x:c r="E70" s="3" t="str">
        <x:v>Turati</x:v>
      </x:c>
      <x:c r="F70" s="3" t="str">
        <x:v>via Ancona</x:v>
      </x:c>
      <x:c r="G70" s="3" t="str">
        <x:v>Loft</x:v>
      </x:c>
      <x:c r="H70" s="6" t="n">
        <x:v>1580000</x:v>
      </x:c>
      <x:c r="I70" s="7" t="n">
        <x:v>150</x:v>
      </x:c>
      <x:c r="J70" s="8" t="n">
        <x:f>IF(D70="Vendita",H70/I70,"")</x:f>
        <x:v>10533.333333333334</x:v>
      </x:c>
      <x:c r="K70" s="8" t="str">
        <x:f>IF(D70="Affitto",H70/I70,"")</x:f>
      </x:c>
      <x:c r="L70" s="3" t="str">
        <x:v>N/D</x:v>
      </x:c>
      <x:c r="M70" s="3" t="n">
        <x:v>1</x:v>
      </x:c>
      <x:c r="N70" s="3" t="str">
        <x:v>Piano terra</x:v>
      </x:c>
      <x:c r="O70" s="3" t="str">
        <x:v>Ottimo stato</x:v>
      </x:c>
      <x:c r="P70" s="3" t="str">
        <x:v>Lusso</x:v>
      </x:c>
      <x:c r="Q70" s="3" t="str">
        <x:v>Sì</x:v>
      </x:c>
      <x:c r="R70" s="3" t="str">
        <x:v>No</x:v>
      </x:c>
      <x:c r="S70" s="3" t="str">
        <x:v>No</x:v>
      </x:c>
      <x:c r="T70" s="3" t="str">
        <x:v>No</x:v>
      </x:c>
      <x:c r="U70" s="3" t="str">
        <x:v>N/D</x:v>
      </x:c>
      <x:c r="V70" s="3" t="str">
        <x:v>N/D</x:v>
      </x:c>
      <x:c r="W70" s="3" t="str">
        <x:v>N/D</x:v>
      </x:c>
      <x:c r="X70" s="9" t="n">
        <x:v>46112</x:v>
      </x:c>
      <x:c r="Y70" s="3" t="str">
        <x:v>N/D</x:v>
      </x:c>
      <x:c r="Z70" s="3" t="str">
        <x:v>Ultimo aggiornamento esposto</x:v>
      </x:c>
      <x:c r="AA70" s="3" t="str">
        <x:v>N/D</x:v>
      </x:c>
      <x:c r="AB70" s="9" t="n">
        <x:v>46270</x:v>
      </x:c>
      <x:c r="AC70" s="3" t="str">
        <x:v>Dettaglio annuncio</x:v>
      </x:c>
      <x:c r="AD70" s="3" t="str">
        <x:v>Prima pubblicazione non esposta. Prezzo richiesto; aggiornamento distinto dalla rilevazione.</x:v>
      </x:c>
      <x:c r="AE70" s="3" t="str">
        <x:v>A</x:v>
      </x:c>
      <x:c r="AF70" s="3" t="str">
        <x:v>Classe dichiarata</x:v>
      </x:c>
      <x:c r="AG70" s="9" t="n">
        <x:v>46270</x:v>
      </x:c>
    </x:row>
    <x:row r="71" ht="48" customHeight="1">
      <x:c r="A71" s="3" t="n">
        <x:v>270</x:v>
      </x:c>
      <x:c r="B71" s="3" t="n">
        <x:v>130190656</x:v>
      </x:c>
      <x:c r="C71" s="3" t="str">
        <x:v>Immobiliare.it</x:v>
      </x:c>
      <x:c r="D71" s="3" t="str">
        <x:v>Vendita</x:v>
      </x:c>
      <x:c r="E71" s="3" t="str">
        <x:v>Turati</x:v>
      </x:c>
      <x:c r="F71" s="3" t="str">
        <x:v>via Solferino 12</x:v>
      </x:c>
      <x:c r="G71" s="3" t="str">
        <x:v>Trilocale</x:v>
      </x:c>
      <x:c r="H71" s="6" t="n">
        <x:v>1300000</x:v>
      </x:c>
      <x:c r="I71" s="7" t="n">
        <x:v>113</x:v>
      </x:c>
      <x:c r="J71" s="8" t="n">
        <x:f>IF(D71="Vendita",H71/I71,"")</x:f>
        <x:v>11504.424778761062</x:v>
      </x:c>
      <x:c r="K71" s="8" t="str">
        <x:f>IF(D71="Affitto",H71/I71,"")</x:f>
      </x:c>
      <x:c r="L71" s="3" t="n">
        <x:v>3</x:v>
      </x:c>
      <x:c r="M71" s="3" t="n">
        <x:v>1</x:v>
      </x:c>
      <x:c r="N71" s="3" t="str">
        <x:v>4</x:v>
      </x:c>
      <x:c r="O71" s="3" t="str">
        <x:v>Da ristrutturare</x:v>
      </x:c>
      <x:c r="P71" s="3" t="str">
        <x:v>Lusso</x:v>
      </x:c>
      <x:c r="Q71" s="3" t="str">
        <x:v>Sì</x:v>
      </x:c>
      <x:c r="R71" s="3" t="str">
        <x:v>No</x:v>
      </x:c>
      <x:c r="S71" s="3" t="str">
        <x:v>No</x:v>
      </x:c>
      <x:c r="T71" s="3" t="str">
        <x:v>Parzialmente Arredato</x:v>
      </x:c>
      <x:c r="U71" s="3" t="str">
        <x:v>Sì</x:v>
      </x:c>
      <x:c r="V71" s="3" t="str">
        <x:v>N/D</x:v>
      </x:c>
      <x:c r="W71" s="3" t="str">
        <x:v>N/D</x:v>
      </x:c>
      <x:c r="X71" s="9" t="n">
        <x:v>46265</x:v>
      </x:c>
      <x:c r="Y71" s="3" t="str">
        <x:v>N/D</x:v>
      </x:c>
      <x:c r="Z71" s="3" t="str">
        <x:v>Ultimo aggiornamento esposto</x:v>
      </x:c>
      <x:c r="AA71" s="3" t="str">
        <x:v>N/D</x:v>
      </x:c>
      <x:c r="AB71" s="9" t="n">
        <x:v>46270</x:v>
      </x:c>
      <x:c r="AC71" s="3" t="str">
        <x:v>Dettaglio annuncio</x:v>
      </x:c>
      <x:c r="AD71" s="3" t="str">
        <x:v>Prima pubblicazione non esposta. Prezzo richiesto; aggiornamento distinto dalla rilevazione.</x:v>
      </x:c>
      <x:c r="AE71" s="3" t="str">
        <x:v>G</x:v>
      </x:c>
      <x:c r="AF71" s="3" t="str">
        <x:v>Classe dichiarata</x:v>
      </x:c>
      <x:c r="AG71" s="9" t="n">
        <x:v>46270</x:v>
      </x:c>
    </x:row>
    <x:row r="72" ht="48" customHeight="1">
      <x:c r="A72" s="3" t="n">
        <x:v>271</x:v>
      </x:c>
      <x:c r="B72" s="3" t="n">
        <x:v>36646950</x:v>
      </x:c>
      <x:c r="C72" s="3" t="str">
        <x:v>Idealista</x:v>
      </x:c>
      <x:c r="D72" s="3" t="str">
        <x:v>Affitto</x:v>
      </x:c>
      <x:c r="E72" s="3" t="str">
        <x:v>Isola</x:v>
      </x:c>
      <x:c r="F72" s="3" t="str">
        <x:v>Via Carlo Farini, 69</x:v>
      </x:c>
      <x:c r="G72" s="3" t="str">
        <x:v>Bilocale</x:v>
      </x:c>
      <x:c r="H72" s="6" t="n">
        <x:v>1300</x:v>
      </x:c>
      <x:c r="I72" s="7" t="n">
        <x:v>43</x:v>
      </x:c>
      <x:c r="J72" s="8" t="str">
        <x:f>IF(D72="Vendita",H72/I72,"")</x:f>
      </x:c>
      <x:c r="K72" s="8" t="n">
        <x:f>IF(D72="Affitto",H72/I72,"")</x:f>
        <x:v>30.232558139534884</x:v>
      </x:c>
      <x:c r="L72" s="3" t="n">
        <x:v>2</x:v>
      </x:c>
      <x:c r="M72" s="3" t="n">
        <x:v>1</x:v>
      </x:c>
      <x:c r="N72" s="3" t="str">
        <x:v>1º piano</x:v>
      </x:c>
      <x:c r="O72" s="3" t="str">
        <x:v>Buono stato</x:v>
      </x:c>
      <x:c r="P72" s="3" t="str">
        <x:v>N/D</x:v>
      </x:c>
      <x:c r="Q72" s="3" t="str">
        <x:v>No</x:v>
      </x:c>
      <x:c r="R72" s="3" t="str">
        <x:v>Sì</x:v>
      </x:c>
      <x:c r="S72" s="3" t="str">
        <x:v>N/D</x:v>
      </x:c>
      <x:c r="T72" s="3" t="str">
        <x:v>N/D</x:v>
      </x:c>
      <x:c r="U72" s="3" t="str">
        <x:v>Sì</x:v>
      </x:c>
      <x:c r="V72" s="3" t="str">
        <x:v>N/D</x:v>
      </x:c>
      <x:c r="W72" s="3" t="str">
        <x:v>N/D</x:v>
      </x:c>
      <x:c r="X72" s="9" t="str">
        <x:v>N/D</x:v>
      </x:c>
      <x:c r="Y72" s="3" t="str">
        <x:v>31 agosto</x:v>
      </x:c>
      <x:c r="Z72" s="3" t="str">
        <x:v>Aggiornamento senza anno esplicito</x:v>
      </x:c>
      <x:c r="AA72" s="3" t="str">
        <x:v>N/D</x:v>
      </x:c>
      <x:c r="AB72" s="9" t="n">
        <x:v>46270</x:v>
      </x:c>
      <x:c r="AC72" s="3" t="str">
        <x:v>Dettaglio annuncio</x:v>
      </x:c>
      <x:c r="AD72" s="3" t="str">
        <x:v>Prima pubblicazione non esposta. Prezzo richiesto; aggiornamento distinto dalla rilevazione.</x:v>
      </x:c>
      <x:c r="AE72" s="3" t="str">
        <x:v>D</x:v>
      </x:c>
      <x:c r="AF72" s="3" t="str">
        <x:v>Classe dichiarata</x:v>
      </x:c>
      <x:c r="AG72" s="9" t="n">
        <x:v>46270</x:v>
      </x:c>
    </x:row>
    <x:row r="73" ht="48" customHeight="1">
      <x:c r="A73" s="3" t="n">
        <x:v>272</x:v>
      </x:c>
      <x:c r="B73" s="3" t="n">
        <x:v>36394617</x:v>
      </x:c>
      <x:c r="C73" s="3" t="str">
        <x:v>Idealista</x:v>
      </x:c>
      <x:c r="D73" s="3" t="str">
        <x:v>Affitto</x:v>
      </x:c>
      <x:c r="E73" s="3" t="str">
        <x:v>Isola</x:v>
      </x:c>
      <x:c r="F73" s="3" t="str">
        <x:v>Via Giulio Belinzaghi, 6</x:v>
      </x:c>
      <x:c r="G73" s="3" t="str">
        <x:v>Monolocale</x:v>
      </x:c>
      <x:c r="H73" s="6" t="n">
        <x:v>800</x:v>
      </x:c>
      <x:c r="I73" s="7" t="n">
        <x:v>40</x:v>
      </x:c>
      <x:c r="J73" s="8" t="str">
        <x:f>IF(D73="Vendita",H73/I73,"")</x:f>
      </x:c>
      <x:c r="K73" s="8" t="n">
        <x:f>IF(D73="Affitto",H73/I73,"")</x:f>
        <x:v>20</x:v>
      </x:c>
      <x:c r="L73" s="3" t="n">
        <x:v>1</x:v>
      </x:c>
      <x:c r="M73" s="3" t="n">
        <x:v>1</x:v>
      </x:c>
      <x:c r="N73" s="3" t="str">
        <x:v>2º piano</x:v>
      </x:c>
      <x:c r="O73" s="3" t="str">
        <x:v>Buono stato</x:v>
      </x:c>
      <x:c r="P73" s="3" t="str">
        <x:v>N/D</x:v>
      </x:c>
      <x:c r="Q73" s="3" t="str">
        <x:v>No</x:v>
      </x:c>
      <x:c r="R73" s="3" t="str">
        <x:v>Sì</x:v>
      </x:c>
      <x:c r="S73" s="3" t="str">
        <x:v>N/D</x:v>
      </x:c>
      <x:c r="T73" s="3" t="str">
        <x:v>N/D</x:v>
      </x:c>
      <x:c r="U73" s="3" t="str">
        <x:v>N/D</x:v>
      </x:c>
      <x:c r="V73" s="3" t="str">
        <x:v>N/D</x:v>
      </x:c>
      <x:c r="W73" s="3" t="str">
        <x:v>N/D</x:v>
      </x:c>
      <x:c r="X73" s="9" t="str">
        <x:v>N/D</x:v>
      </x:c>
      <x:c r="Y73" s="3" t="str">
        <x:v>5 agosto</x:v>
      </x:c>
      <x:c r="Z73" s="3" t="str">
        <x:v>Aggiornamento senza anno esplicito</x:v>
      </x:c>
      <x:c r="AA73" s="3" t="str">
        <x:v>N/D</x:v>
      </x:c>
      <x:c r="AB73" s="9" t="n">
        <x:v>46270</x:v>
      </x:c>
      <x:c r="AC73" s="3" t="str">
        <x:v>Dettaglio annuncio</x:v>
      </x:c>
      <x:c r="AD73" s="3" t="str">
        <x:v>Prima pubblicazione non esposta. Prezzo richiesto; aggiornamento distinto dalla rilevazione.</x:v>
      </x:c>
      <x:c r="AE73" s="3" t="str">
        <x:v>N/D</x:v>
      </x:c>
      <x:c r="AF73" s="3" t="str">
        <x:v>Classe non leggibile nel testo disponibile</x:v>
      </x:c>
      <x:c r="AG73" s="9" t="n">
        <x:v>46270</x:v>
      </x:c>
    </x:row>
    <x:row r="74" ht="48" customHeight="1">
      <x:c r="A74" s="3" t="n">
        <x:v>273</x:v>
      </x:c>
      <x:c r="B74" s="3" t="n">
        <x:v>128652148</x:v>
      </x:c>
      <x:c r="C74" s="3" t="str">
        <x:v>Immobiliare.it</x:v>
      </x:c>
      <x:c r="D74" s="3" t="str">
        <x:v>Affitto</x:v>
      </x:c>
      <x:c r="E74" s="3" t="str">
        <x:v>Porta Romana - Medaglie d'Oro</x:v>
      </x:c>
      <x:c r="F74" s="3" t="str">
        <x:v>via Atto Vannucci 7</x:v>
      </x:c>
      <x:c r="G74" s="3" t="str">
        <x:v>Trilocale</x:v>
      </x:c>
      <x:c r="H74" s="6" t="n">
        <x:v>1600</x:v>
      </x:c>
      <x:c r="I74" s="7" t="n">
        <x:v>105</x:v>
      </x:c>
      <x:c r="J74" s="8" t="str">
        <x:f>IF(D74="Vendita",H74/I74,"")</x:f>
      </x:c>
      <x:c r="K74" s="8" t="n">
        <x:f>IF(D74="Affitto",H74/I74,"")</x:f>
        <x:v>15.238095238095237</x:v>
      </x:c>
      <x:c r="L74" s="3" t="n">
        <x:v>3</x:v>
      </x:c>
      <x:c r="M74" s="3" t="n">
        <x:v>1</x:v>
      </x:c>
      <x:c r="N74" s="3" t="str">
        <x:v>Piano terra</x:v>
      </x:c>
      <x:c r="O74" s="3" t="str">
        <x:v>Ottimo stato</x:v>
      </x:c>
      <x:c r="P74" s="3" t="str">
        <x:v>N/D</x:v>
      </x:c>
      <x:c r="Q74" s="3" t="str">
        <x:v>Sì</x:v>
      </x:c>
      <x:c r="R74" s="3" t="str">
        <x:v>No</x:v>
      </x:c>
      <x:c r="S74" s="3" t="str">
        <x:v>No</x:v>
      </x:c>
      <x:c r="T74" s="3" t="str">
        <x:v>No</x:v>
      </x:c>
      <x:c r="U74" s="3" t="str">
        <x:v>Sì</x:v>
      </x:c>
      <x:c r="V74" s="3" t="str">
        <x:v>N/D</x:v>
      </x:c>
      <x:c r="W74" s="3" t="str">
        <x:v>N/D</x:v>
      </x:c>
      <x:c r="X74" s="9" t="n">
        <x:v>46233</x:v>
      </x:c>
      <x:c r="Y74" s="3" t="str">
        <x:v>N/D</x:v>
      </x:c>
      <x:c r="Z74" s="3" t="str">
        <x:v>Ultimo aggiornamento esposto</x:v>
      </x:c>
      <x:c r="AA74" s="3" t="str">
        <x:v>N/D</x:v>
      </x:c>
      <x:c r="AB74" s="9" t="n">
        <x:v>46270</x:v>
      </x:c>
      <x:c r="AC74" s="3" t="str">
        <x:v>Dettaglio annuncio</x:v>
      </x:c>
      <x:c r="AD74" s="3" t="str">
        <x:v>Prima pubblicazione non esposta. Prezzo richiesto; aggiornamento distinto dalla rilevazione.</x:v>
      </x:c>
      <x:c r="AE74" s="3" t="str">
        <x:v>F</x:v>
      </x:c>
      <x:c r="AF74" s="3" t="str">
        <x:v>Classe dichiarata</x:v>
      </x:c>
      <x:c r="AG74" s="9" t="n">
        <x:v>46270</x:v>
      </x:c>
    </x:row>
    <x:row r="75" ht="48" customHeight="1">
      <x:c r="A75" s="3" t="n">
        <x:v>274</x:v>
      </x:c>
      <x:c r="B75" s="3" t="n">
        <x:v>132116986</x:v>
      </x:c>
      <x:c r="C75" s="3" t="str">
        <x:v>Immobiliare.it</x:v>
      </x:c>
      <x:c r="D75" s="3" t="str">
        <x:v>Affitto</x:v>
      </x:c>
      <x:c r="E75" s="3" t="str">
        <x:v>Porta Romana - Medaglie d'Oro</x:v>
      </x:c>
      <x:c r="F75" s="3" t="str">
        <x:v>via Lazzaro Papi 12</x:v>
      </x:c>
      <x:c r="G75" s="3" t="str">
        <x:v>Trilocale</x:v>
      </x:c>
      <x:c r="H75" s="6" t="n">
        <x:v>2100</x:v>
      </x:c>
      <x:c r="I75" s="7" t="n">
        <x:v>60</x:v>
      </x:c>
      <x:c r="J75" s="8" t="str">
        <x:f>IF(D75="Vendita",H75/I75,"")</x:f>
      </x:c>
      <x:c r="K75" s="8" t="n">
        <x:f>IF(D75="Affitto",H75/I75,"")</x:f>
        <x:v>35</x:v>
      </x:c>
      <x:c r="L75" s="3" t="n">
        <x:v>3</x:v>
      </x:c>
      <x:c r="M75" s="3" t="n">
        <x:v>2</x:v>
      </x:c>
      <x:c r="N75" s="3" t="str">
        <x:v>3</x:v>
      </x:c>
      <x:c r="O75" s="3" t="str">
        <x:v>Ottimo stato</x:v>
      </x:c>
      <x:c r="P75" s="3" t="str">
        <x:v>N/D</x:v>
      </x:c>
      <x:c r="Q75" s="3" t="str">
        <x:v>Sì</x:v>
      </x:c>
      <x:c r="R75" s="3" t="str">
        <x:v>No</x:v>
      </x:c>
      <x:c r="S75" s="3" t="str">
        <x:v>No</x:v>
      </x:c>
      <x:c r="T75" s="3" t="str">
        <x:v>Sì</x:v>
      </x:c>
      <x:c r="U75" s="3" t="str">
        <x:v>N/D</x:v>
      </x:c>
      <x:c r="V75" s="3" t="str">
        <x:v>N/D</x:v>
      </x:c>
      <x:c r="W75" s="3" t="str">
        <x:v>N/D</x:v>
      </x:c>
      <x:c r="X75" s="9" t="n">
        <x:v>46267</x:v>
      </x:c>
      <x:c r="Y75" s="3" t="str">
        <x:v>N/D</x:v>
      </x:c>
      <x:c r="Z75" s="3" t="str">
        <x:v>Ultimo aggiornamento esposto</x:v>
      </x:c>
      <x:c r="AA75" s="3" t="str">
        <x:v>N/D</x:v>
      </x:c>
      <x:c r="AB75" s="9" t="n">
        <x:v>46270</x:v>
      </x:c>
      <x:c r="AC75" s="3" t="str">
        <x:v>Dettaglio annuncio</x:v>
      </x:c>
      <x:c r="AD75" s="3" t="str">
        <x:v>Prima pubblicazione non esposta. Prezzo richiesto; aggiornamento distinto dalla rilevazione.</x:v>
      </x:c>
      <x:c r="AE75" s="3" t="str">
        <x:v>D</x:v>
      </x:c>
      <x:c r="AF75" s="3" t="str">
        <x:v>Classe dichiarata</x:v>
      </x:c>
      <x:c r="AG75" s="9" t="n">
        <x:v>46270</x:v>
      </x:c>
    </x:row>
    <x:row r="76" ht="48" customHeight="1">
      <x:c r="A76" s="3" t="n">
        <x:v>275</x:v>
      </x:c>
      <x:c r="B76" s="3" t="n">
        <x:v>130846890</x:v>
      </x:c>
      <x:c r="C76" s="3" t="str">
        <x:v>Immobiliare.it</x:v>
      </x:c>
      <x:c r="D76" s="3" t="str">
        <x:v>Affitto</x:v>
      </x:c>
      <x:c r="E76" s="3" t="str">
        <x:v>Porta Romana - Medaglie d'Oro</x:v>
      </x:c>
      <x:c r="F76" s="3" t="str">
        <x:v>via Lodovico Muratori 11</x:v>
      </x:c>
      <x:c r="G76" s="3" t="str">
        <x:v>Monolocale</x:v>
      </x:c>
      <x:c r="H76" s="6" t="n">
        <x:v>1000</x:v>
      </x:c>
      <x:c r="I76" s="7" t="n">
        <x:v>26</x:v>
      </x:c>
      <x:c r="J76" s="8" t="str">
        <x:f>IF(D76="Vendita",H76/I76,"")</x:f>
      </x:c>
      <x:c r="K76" s="8" t="n">
        <x:f>IF(D76="Affitto",H76/I76,"")</x:f>
        <x:v>38.46153846153846</x:v>
      </x:c>
      <x:c r="L76" s="3" t="n">
        <x:v>1</x:v>
      </x:c>
      <x:c r="M76" s="3" t="n">
        <x:v>1</x:v>
      </x:c>
      <x:c r="N76" s="3" t="str">
        <x:v>4</x:v>
      </x:c>
      <x:c r="O76" s="3" t="str">
        <x:v>Ottimo stato</x:v>
      </x:c>
      <x:c r="P76" s="3" t="str">
        <x:v>N/D</x:v>
      </x:c>
      <x:c r="Q76" s="3" t="str">
        <x:v>Sì</x:v>
      </x:c>
      <x:c r="R76" s="3" t="str">
        <x:v>No</x:v>
      </x:c>
      <x:c r="S76" s="3" t="str">
        <x:v>No</x:v>
      </x:c>
      <x:c r="T76" s="3" t="str">
        <x:v>Sì</x:v>
      </x:c>
      <x:c r="U76" s="3" t="str">
        <x:v>N/D</x:v>
      </x:c>
      <x:c r="V76" s="3" t="str">
        <x:v>N/D</x:v>
      </x:c>
      <x:c r="W76" s="3" t="str">
        <x:v>N/D</x:v>
      </x:c>
      <x:c r="X76" s="9" t="n">
        <x:v>46213</x:v>
      </x:c>
      <x:c r="Y76" s="3" t="str">
        <x:v>N/D</x:v>
      </x:c>
      <x:c r="Z76" s="3" t="str">
        <x:v>Ultimo aggiornamento esposto</x:v>
      </x:c>
      <x:c r="AA76" s="3" t="str">
        <x:v>N/D</x:v>
      </x:c>
      <x:c r="AB76" s="9" t="n">
        <x:v>46270</x:v>
      </x:c>
      <x:c r="AC76" s="3" t="str">
        <x:v>Dettaglio annuncio</x:v>
      </x:c>
      <x:c r="AD76" s="3" t="str">
        <x:v>Prima pubblicazione non esposta. Prezzo richiesto; aggiornamento distinto dalla rilevazione.</x:v>
      </x:c>
      <x:c r="AE76" s="3" t="str">
        <x:v>G</x:v>
      </x:c>
      <x:c r="AF76" s="3" t="str">
        <x:v>Classe dichiarata</x:v>
      </x:c>
      <x:c r="AG76" s="9" t="n">
        <x:v>46270</x:v>
      </x:c>
    </x:row>
    <x:row r="77" ht="48" customHeight="1">
      <x:c r="A77" s="3" t="n">
        <x:v>276</x:v>
      </x:c>
      <x:c r="B77" s="3" t="n">
        <x:v>24742163</x:v>
      </x:c>
      <x:c r="C77" s="3" t="str">
        <x:v>Idealista</x:v>
      </x:c>
      <x:c r="D77" s="3" t="str">
        <x:v>Affitto</x:v>
      </x:c>
      <x:c r="E77" s="3" t="str">
        <x:v>Lambrate</x:v>
      </x:c>
      <x:c r="F77" s="3" t="str">
        <x:v>Via Egidio Folli, 27</x:v>
      </x:c>
      <x:c r="G77" s="3" t="str">
        <x:v>Monolocale</x:v>
      </x:c>
      <x:c r="H77" s="6" t="n">
        <x:v>700</x:v>
      </x:c>
      <x:c r="I77" s="7" t="n">
        <x:v>32</x:v>
      </x:c>
      <x:c r="J77" s="8" t="str">
        <x:f>IF(D77="Vendita",H77/I77,"")</x:f>
      </x:c>
      <x:c r="K77" s="8" t="n">
        <x:f>IF(D77="Affitto",H77/I77,"")</x:f>
        <x:v>21.875</x:v>
      </x:c>
      <x:c r="L77" s="3" t="n">
        <x:v>1</x:v>
      </x:c>
      <x:c r="M77" s="3" t="n">
        <x:v>1</x:v>
      </x:c>
      <x:c r="N77" s="3" t="str">
        <x:v>Piano terra</x:v>
      </x:c>
      <x:c r="O77" s="3" t="str">
        <x:v>Buono stato</x:v>
      </x:c>
      <x:c r="P77" s="3" t="str">
        <x:v>N/D</x:v>
      </x:c>
      <x:c r="Q77" s="3" t="str">
        <x:v>No</x:v>
      </x:c>
      <x:c r="R77" s="3" t="str">
        <x:v>N/D</x:v>
      </x:c>
      <x:c r="S77" s="3" t="str">
        <x:v>N/D</x:v>
      </x:c>
      <x:c r="T77" s="3" t="str">
        <x:v>N/D</x:v>
      </x:c>
      <x:c r="U77" s="3" t="str">
        <x:v>N/D</x:v>
      </x:c>
      <x:c r="V77" s="3" t="str">
        <x:v>N/D</x:v>
      </x:c>
      <x:c r="W77" s="3" t="str">
        <x:v>N/D</x:v>
      </x:c>
      <x:c r="X77" s="9" t="str">
        <x:v>N/D</x:v>
      </x:c>
      <x:c r="Y77" s="3" t="str">
        <x:v>19 agosto</x:v>
      </x:c>
      <x:c r="Z77" s="3" t="str">
        <x:v>Aggiornamento senza anno esplicito</x:v>
      </x:c>
      <x:c r="AA77" s="3" t="str">
        <x:v>N/D</x:v>
      </x:c>
      <x:c r="AB77" s="9" t="n">
        <x:v>46270</x:v>
      </x:c>
      <x:c r="AC77" s="3" t="str">
        <x:v>Dettaglio annuncio</x:v>
      </x:c>
      <x:c r="AD77" s="3" t="str">
        <x:v>Prima pubblicazione non esposta. Prezzo richiesto; aggiornamento distinto dalla rilevazione.</x:v>
      </x:c>
      <x:c r="AE77" s="3" t="str">
        <x:v>N/D</x:v>
      </x:c>
      <x:c r="AF77" s="3" t="str">
        <x:v>Classe non leggibile nel testo disponibile</x:v>
      </x:c>
      <x:c r="AG77" s="9" t="n">
        <x:v>46270</x:v>
      </x:c>
    </x:row>
    <x:row r="78" ht="48" customHeight="1">
      <x:c r="A78" s="3" t="n">
        <x:v>277</x:v>
      </x:c>
      <x:c r="B78" s="3" t="n">
        <x:v>129473320</x:v>
      </x:c>
      <x:c r="C78" s="3" t="str">
        <x:v>Immobiliare.it</x:v>
      </x:c>
      <x:c r="D78" s="3" t="str">
        <x:v>Affitto</x:v>
      </x:c>
      <x:c r="E78" s="3" t="str">
        <x:v>Lambrate</x:v>
      </x:c>
      <x:c r="F78" s="3" t="str">
        <x:v>via Bertolazzi 6</x:v>
      </x:c>
      <x:c r="G78" s="3" t="str">
        <x:v>Bilocale</x:v>
      </x:c>
      <x:c r="H78" s="6" t="n">
        <x:v>1050</x:v>
      </x:c>
      <x:c r="I78" s="7" t="n">
        <x:v>77</x:v>
      </x:c>
      <x:c r="J78" s="8" t="str">
        <x:f>IF(D78="Vendita",H78/I78,"")</x:f>
      </x:c>
      <x:c r="K78" s="8" t="n">
        <x:f>IF(D78="Affitto",H78/I78,"")</x:f>
        <x:v>13.636363636363637</x:v>
      </x:c>
      <x:c r="L78" s="3" t="n">
        <x:v>2</x:v>
      </x:c>
      <x:c r="M78" s="3" t="n">
        <x:v>1</x:v>
      </x:c>
      <x:c r="N78" s="3" t="str">
        <x:v>N/D</x:v>
      </x:c>
      <x:c r="O78" s="3" t="str">
        <x:v>Buono stato</x:v>
      </x:c>
      <x:c r="P78" s="3" t="str">
        <x:v>N/D</x:v>
      </x:c>
      <x:c r="Q78" s="3" t="str">
        <x:v>No</x:v>
      </x:c>
      <x:c r="R78" s="3" t="str">
        <x:v>Sì</x:v>
      </x:c>
      <x:c r="S78" s="3" t="str">
        <x:v>No</x:v>
      </x:c>
      <x:c r="T78" s="3" t="str">
        <x:v>Sì</x:v>
      </x:c>
      <x:c r="U78" s="3" t="str">
        <x:v>N/D</x:v>
      </x:c>
      <x:c r="V78" s="3" t="str">
        <x:v>N/D</x:v>
      </x:c>
      <x:c r="W78" s="3" t="str">
        <x:v>N/D</x:v>
      </x:c>
      <x:c r="X78" s="9" t="n">
        <x:v>46171</x:v>
      </x:c>
      <x:c r="Y78" s="3" t="str">
        <x:v>N/D</x:v>
      </x:c>
      <x:c r="Z78" s="3" t="str">
        <x:v>Ultimo aggiornamento esposto</x:v>
      </x:c>
      <x:c r="AA78" s="3" t="str">
        <x:v>N/D</x:v>
      </x:c>
      <x:c r="AB78" s="9" t="n">
        <x:v>46270</x:v>
      </x:c>
      <x:c r="AC78" s="3" t="str">
        <x:v>Dettaglio annuncio</x:v>
      </x:c>
      <x:c r="AD78" s="3" t="str">
        <x:v>Prima pubblicazione non esposta. Prezzo richiesto; aggiornamento distinto dalla rilevazione.</x:v>
      </x:c>
      <x:c r="AE78" s="3" t="str">
        <x:v>F</x:v>
      </x:c>
      <x:c r="AF78" s="3" t="str">
        <x:v>Classe dichiarata</x:v>
      </x:c>
      <x:c r="AG78" s="9" t="n">
        <x:v>46270</x:v>
      </x:c>
    </x:row>
    <x:row r="79" ht="48" customHeight="1">
      <x:c r="A79" s="3" t="n">
        <x:v>278</x:v>
      </x:c>
      <x:c r="B79" s="3" t="n">
        <x:v>115873703</x:v>
      </x:c>
      <x:c r="C79" s="3" t="str">
        <x:v>Immobiliare.it</x:v>
      </x:c>
      <x:c r="D79" s="3" t="str">
        <x:v>Affitto</x:v>
      </x:c>
      <x:c r="E79" s="3" t="str">
        <x:v>Lambrate</x:v>
      </x:c>
      <x:c r="F79" s="3" t="str">
        <x:v>via Giovanni Ventura 3</x:v>
      </x:c>
      <x:c r="G79" s="3" t="str">
        <x:v>Quadrilocale</x:v>
      </x:c>
      <x:c r="H79" s="6" t="n">
        <x:v>4700</x:v>
      </x:c>
      <x:c r="I79" s="7" t="n">
        <x:v>240</x:v>
      </x:c>
      <x:c r="J79" s="8" t="str">
        <x:f>IF(D79="Vendita",H79/I79,"")</x:f>
      </x:c>
      <x:c r="K79" s="8" t="n">
        <x:f>IF(D79="Affitto",H79/I79,"")</x:f>
        <x:v>19.583333333333332</x:v>
      </x:c>
      <x:c r="L79" s="3" t="n">
        <x:v>4</x:v>
      </x:c>
      <x:c r="M79" s="3" t="n">
        <x:v>2</x:v>
      </x:c>
      <x:c r="N79" s="3" t="str">
        <x:v>3</x:v>
      </x:c>
      <x:c r="O79" s="3" t="str">
        <x:v>Ottimo stato</x:v>
      </x:c>
      <x:c r="P79" s="3" t="str">
        <x:v>N/D</x:v>
      </x:c>
      <x:c r="Q79" s="3" t="str">
        <x:v>Sì</x:v>
      </x:c>
      <x:c r="R79" s="3" t="str">
        <x:v>No</x:v>
      </x:c>
      <x:c r="S79" s="3" t="str">
        <x:v>Sì</x:v>
      </x:c>
      <x:c r="T79" s="3" t="str">
        <x:v>Sì</x:v>
      </x:c>
      <x:c r="U79" s="3" t="str">
        <x:v>N/D</x:v>
      </x:c>
      <x:c r="V79" s="3" t="str">
        <x:v>1 in box privato/box in garage</x:v>
      </x:c>
      <x:c r="W79" s="3" t="str">
        <x:v>N/D</x:v>
      </x:c>
      <x:c r="X79" s="9" t="n">
        <x:v>46219</x:v>
      </x:c>
      <x:c r="Y79" s="3" t="str">
        <x:v>N/D</x:v>
      </x:c>
      <x:c r="Z79" s="3" t="str">
        <x:v>Ultimo aggiornamento esposto</x:v>
      </x:c>
      <x:c r="AA79" s="3" t="str">
        <x:v>N/D</x:v>
      </x:c>
      <x:c r="AB79" s="9" t="n">
        <x:v>46270</x:v>
      </x:c>
      <x:c r="AC79" s="3" t="str">
        <x:v>Dettaglio annuncio</x:v>
      </x:c>
      <x:c r="AD79" s="3" t="str">
        <x:v>Prima pubblicazione non esposta. Prezzo richiesto; aggiornamento distinto dalla rilevazione.</x:v>
      </x:c>
      <x:c r="AE79" s="3" t="str">
        <x:v>B</x:v>
      </x:c>
      <x:c r="AF79" s="3" t="str">
        <x:v>Classe dichiarata</x:v>
      </x:c>
      <x:c r="AG79" s="9" t="n">
        <x:v>46270</x:v>
      </x:c>
    </x:row>
    <x:row r="80" ht="48" customHeight="1">
      <x:c r="A80" s="3" t="n">
        <x:v>279</x:v>
      </x:c>
      <x:c r="B80" s="3" t="n">
        <x:v>129955490</x:v>
      </x:c>
      <x:c r="C80" s="3" t="str">
        <x:v>Immobiliare.it</x:v>
      </x:c>
      <x:c r="D80" s="3" t="str">
        <x:v>Affitto</x:v>
      </x:c>
      <x:c r="E80" s="3" t="str">
        <x:v>Lambrate</x:v>
      </x:c>
      <x:c r="F80" s="3" t="str">
        <x:v>via Luigi Borgomainerio 30</x:v>
      </x:c>
      <x:c r="G80" s="3" t="str">
        <x:v>Monolocale</x:v>
      </x:c>
      <x:c r="H80" s="6" t="n">
        <x:v>820</x:v>
      </x:c>
      <x:c r="I80" s="7" t="n">
        <x:v>30</x:v>
      </x:c>
      <x:c r="J80" s="8" t="str">
        <x:f>IF(D80="Vendita",H80/I80,"")</x:f>
      </x:c>
      <x:c r="K80" s="8" t="n">
        <x:f>IF(D80="Affitto",H80/I80,"")</x:f>
        <x:v>27.333333333333332</x:v>
      </x:c>
      <x:c r="L80" s="3" t="n">
        <x:v>1</x:v>
      </x:c>
      <x:c r="M80" s="3" t="n">
        <x:v>1</x:v>
      </x:c>
      <x:c r="N80" s="3" t="str">
        <x:v>6</x:v>
      </x:c>
      <x:c r="O80" s="3" t="str">
        <x:v>Ottimo stato</x:v>
      </x:c>
      <x:c r="P80" s="3" t="str">
        <x:v>N/D</x:v>
      </x:c>
      <x:c r="Q80" s="3" t="str">
        <x:v>Sì</x:v>
      </x:c>
      <x:c r="R80" s="3" t="str">
        <x:v>Sì</x:v>
      </x:c>
      <x:c r="S80" s="3" t="str">
        <x:v>No</x:v>
      </x:c>
      <x:c r="T80" s="3" t="str">
        <x:v>Sì</x:v>
      </x:c>
      <x:c r="U80" s="3" t="str">
        <x:v>Sì</x:v>
      </x:c>
      <x:c r="V80" s="3" t="str">
        <x:v>N/D</x:v>
      </x:c>
      <x:c r="W80" s="3" t="str">
        <x:v>N/D</x:v>
      </x:c>
      <x:c r="X80" s="9" t="n">
        <x:v>46204</x:v>
      </x:c>
      <x:c r="Y80" s="3" t="str">
        <x:v>N/D</x:v>
      </x:c>
      <x:c r="Z80" s="3" t="str">
        <x:v>Ultimo aggiornamento esposto</x:v>
      </x:c>
      <x:c r="AA80" s="3" t="str">
        <x:v>N/D</x:v>
      </x:c>
      <x:c r="AB80" s="9" t="n">
        <x:v>46270</x:v>
      </x:c>
      <x:c r="AC80" s="3" t="str">
        <x:v>Dettaglio annuncio</x:v>
      </x:c>
      <x:c r="AD80" s="3" t="str">
        <x:v>Prima pubblicazione non esposta. Prezzo richiesto; aggiornamento distinto dalla rilevazione.</x:v>
      </x:c>
      <x:c r="AE80" s="3" t="str">
        <x:v>F</x:v>
      </x:c>
      <x:c r="AF80" s="3" t="str">
        <x:v>Classe dichiarata</x:v>
      </x:c>
      <x:c r="AG80" s="9" t="n">
        <x:v>46270</x:v>
      </x:c>
    </x:row>
    <x:row r="81" ht="48" customHeight="1">
      <x:c r="A81" s="3" t="n">
        <x:v>280</x:v>
      </x:c>
      <x:c r="B81" s="3" t="n">
        <x:v>131464718</x:v>
      </x:c>
      <x:c r="C81" s="3" t="str">
        <x:v>Immobiliare.it</x:v>
      </x:c>
      <x:c r="D81" s="3" t="str">
        <x:v>Affitto</x:v>
      </x:c>
      <x:c r="E81" s="3" t="str">
        <x:v>Lambrate</x:v>
      </x:c>
      <x:c r="F81" s="3" t="str">
        <x:v>via Rombon 38</x:v>
      </x:c>
      <x:c r="G81" s="3" t="str">
        <x:v>Trilocale</x:v>
      </x:c>
      <x:c r="H81" s="6" t="n">
        <x:v>1350</x:v>
      </x:c>
      <x:c r="I81" s="7" t="n">
        <x:v>70</x:v>
      </x:c>
      <x:c r="J81" s="8" t="str">
        <x:f>IF(D81="Vendita",H81/I81,"")</x:f>
      </x:c>
      <x:c r="K81" s="8" t="n">
        <x:f>IF(D81="Affitto",H81/I81,"")</x:f>
        <x:v>19.285714285714285</x:v>
      </x:c>
      <x:c r="L81" s="3" t="n">
        <x:v>3</x:v>
      </x:c>
      <x:c r="M81" s="3" t="n">
        <x:v>1</x:v>
      </x:c>
      <x:c r="N81" s="3" t="str">
        <x:v>5</x:v>
      </x:c>
      <x:c r="O81" s="3" t="str">
        <x:v>Buono stato</x:v>
      </x:c>
      <x:c r="P81" s="3" t="str">
        <x:v>N/D</x:v>
      </x:c>
      <x:c r="Q81" s="3" t="str">
        <x:v>Sì</x:v>
      </x:c>
      <x:c r="R81" s="3" t="str">
        <x:v>Sì</x:v>
      </x:c>
      <x:c r="S81" s="3" t="str">
        <x:v>No</x:v>
      </x:c>
      <x:c r="T81" s="3" t="str">
        <x:v>Sì</x:v>
      </x:c>
      <x:c r="U81" s="3" t="str">
        <x:v>N/D</x:v>
      </x:c>
      <x:c r="V81" s="3" t="str">
        <x:v>N/D</x:v>
      </x:c>
      <x:c r="W81" s="3" t="str">
        <x:v>N/D</x:v>
      </x:c>
      <x:c r="X81" s="9" t="n">
        <x:v>46234</x:v>
      </x:c>
      <x:c r="Y81" s="3" t="str">
        <x:v>N/D</x:v>
      </x:c>
      <x:c r="Z81" s="3" t="str">
        <x:v>Ultimo aggiornamento esposto</x:v>
      </x:c>
      <x:c r="AA81" s="3" t="str">
        <x:v>N/D</x:v>
      </x:c>
      <x:c r="AB81" s="9" t="n">
        <x:v>46270</x:v>
      </x:c>
      <x:c r="AC81" s="3" t="str">
        <x:v>Dettaglio annuncio</x:v>
      </x:c>
      <x:c r="AD81" s="3" t="str">
        <x:v>Prima pubblicazione non esposta. Prezzo richiesto; aggiornamento distinto dalla rilevazione.</x:v>
      </x:c>
      <x:c r="AE81" s="3" t="str">
        <x:v>F</x:v>
      </x:c>
      <x:c r="AF81" s="3" t="str">
        <x:v>Classe dichiarata</x:v>
      </x:c>
      <x:c r="AG81" s="9" t="n">
        <x:v>46270</x:v>
      </x:c>
    </x:row>
    <x:row r="82" ht="48" customHeight="1">
      <x:c r="A82" s="3" t="n">
        <x:v>281</x:v>
      </x:c>
      <x:c r="B82" s="3" t="n">
        <x:v>98204350</x:v>
      </x:c>
      <x:c r="C82" s="3" t="str">
        <x:v>Immobiliare.it</x:v>
      </x:c>
      <x:c r="D82" s="3" t="str">
        <x:v>Affitto</x:v>
      </x:c>
      <x:c r="E82" s="3" t="str">
        <x:v>Quartiere Feltre</x:v>
      </x:c>
      <x:c r="F82" s="3" t="str">
        <x:v>via Maniago 2</x:v>
      </x:c>
      <x:c r="G82" s="3" t="str">
        <x:v>Appartamento</x:v>
      </x:c>
      <x:c r="H82" s="6" t="n">
        <x:v>1100</x:v>
      </x:c>
      <x:c r="I82" s="7" t="n">
        <x:v>65</x:v>
      </x:c>
      <x:c r="J82" s="8" t="str">
        <x:f>IF(D82="Vendita",H82/I82,"")</x:f>
      </x:c>
      <x:c r="K82" s="8" t="n">
        <x:f>IF(D82="Affitto",H82/I82,"")</x:f>
        <x:v>16.923076923076923</x:v>
      </x:c>
      <x:c r="L82" s="3" t="n">
        <x:v>2</x:v>
      </x:c>
      <x:c r="M82" s="3" t="n">
        <x:v>1</x:v>
      </x:c>
      <x:c r="N82" s="3" t="str">
        <x:v>Piano terra</x:v>
      </x:c>
      <x:c r="O82" s="3" t="str">
        <x:v>Ottimo stato</x:v>
      </x:c>
      <x:c r="P82" s="3" t="str">
        <x:v>N/D</x:v>
      </x:c>
      <x:c r="Q82" s="3" t="str">
        <x:v>Sì</x:v>
      </x:c>
      <x:c r="R82" s="3" t="str">
        <x:v>N/D</x:v>
      </x:c>
      <x:c r="S82" s="3" t="str">
        <x:v>N/D</x:v>
      </x:c>
      <x:c r="T82" s="3" t="str">
        <x:v>Sì</x:v>
      </x:c>
      <x:c r="U82" s="3" t="str">
        <x:v>N/D</x:v>
      </x:c>
      <x:c r="V82" s="3" t="str">
        <x:v>N/D</x:v>
      </x:c>
      <x:c r="W82" s="3" t="str">
        <x:v>N/D</x:v>
      </x:c>
      <x:c r="X82" s="9" t="n">
        <x:v>46205</x:v>
      </x:c>
      <x:c r="Y82" s="3" t="str">
        <x:v>N/D</x:v>
      </x:c>
      <x:c r="Z82" s="3" t="str">
        <x:v>Ultimo aggiornamento esposto</x:v>
      </x:c>
      <x:c r="AA82" s="3" t="str">
        <x:v>N/D</x:v>
      </x:c>
      <x:c r="AB82" s="9" t="n">
        <x:v>46270</x:v>
      </x:c>
      <x:c r="AC82" s="3" t="str">
        <x:v>Dettaglio annuncio</x:v>
      </x:c>
      <x:c r="AD82" s="3" t="str">
        <x:v>Prima pubblicazione non esposta. Prezzo richiesto; aggiornamento distinto dalla rilevazione.</x:v>
      </x:c>
      <x:c r="AE82" s="3" t="str">
        <x:v>F</x:v>
      </x:c>
      <x:c r="AF82" s="3" t="str">
        <x:v>Classe dichiarata</x:v>
      </x:c>
      <x:c r="AG82" s="9" t="n">
        <x:v>46270</x:v>
      </x:c>
    </x:row>
    <x:row r="83" ht="48" customHeight="1">
      <x:c r="A83" s="3" t="n">
        <x:v>282</x:v>
      </x:c>
      <x:c r="B83" s="3" t="n">
        <x:v>131368822</x:v>
      </x:c>
      <x:c r="C83" s="3" t="str">
        <x:v>Immobiliare.it</x:v>
      </x:c>
      <x:c r="D83" s="3" t="str">
        <x:v>Affitto</x:v>
      </x:c>
      <x:c r="E83" s="3" t="str">
        <x:v>Quartiere Feltre</x:v>
      </x:c>
      <x:c r="F83" s="3" t="str">
        <x:v>via Ponte di Legno 2</x:v>
      </x:c>
      <x:c r="G83" s="3" t="str">
        <x:v>Trilocale</x:v>
      </x:c>
      <x:c r="H83" s="6" t="n">
        <x:v>1500</x:v>
      </x:c>
      <x:c r="I83" s="7" t="n">
        <x:v>84</x:v>
      </x:c>
      <x:c r="J83" s="8" t="str">
        <x:f>IF(D83="Vendita",H83/I83,"")</x:f>
      </x:c>
      <x:c r="K83" s="8" t="n">
        <x:f>IF(D83="Affitto",H83/I83,"")</x:f>
        <x:v>17.857142857142858</x:v>
      </x:c>
      <x:c r="L83" s="3" t="n">
        <x:v>3</x:v>
      </x:c>
      <x:c r="M83" s="3" t="n">
        <x:v>1</x:v>
      </x:c>
      <x:c r="N83" s="3" t="str">
        <x:v>2</x:v>
      </x:c>
      <x:c r="O83" s="3" t="str">
        <x:v>Ottimo stato</x:v>
      </x:c>
      <x:c r="P83" s="3" t="str">
        <x:v>N/D</x:v>
      </x:c>
      <x:c r="Q83" s="3" t="str">
        <x:v>Sì</x:v>
      </x:c>
      <x:c r="R83" s="3" t="str">
        <x:v>Sì</x:v>
      </x:c>
      <x:c r="S83" s="3" t="str">
        <x:v>No</x:v>
      </x:c>
      <x:c r="T83" s="3" t="str">
        <x:v>Sì</x:v>
      </x:c>
      <x:c r="U83" s="3" t="str">
        <x:v>Sì</x:v>
      </x:c>
      <x:c r="V83" s="3" t="str">
        <x:v>N/D</x:v>
      </x:c>
      <x:c r="W83" s="3" t="str">
        <x:v>N/D</x:v>
      </x:c>
      <x:c r="X83" s="9" t="n">
        <x:v>46231</x:v>
      </x:c>
      <x:c r="Y83" s="3" t="str">
        <x:v>N/D</x:v>
      </x:c>
      <x:c r="Z83" s="3" t="str">
        <x:v>Ultimo aggiornamento esposto</x:v>
      </x:c>
      <x:c r="AA83" s="3" t="str">
        <x:v>N/D</x:v>
      </x:c>
      <x:c r="AB83" s="9" t="n">
        <x:v>46270</x:v>
      </x:c>
      <x:c r="AC83" s="3" t="str">
        <x:v>Dettaglio annuncio</x:v>
      </x:c>
      <x:c r="AD83" s="3" t="str">
        <x:v>Prima pubblicazione non esposta. Prezzo richiesto; aggiornamento distinto dalla rilevazione.</x:v>
      </x:c>
      <x:c r="AE83" s="3" t="str">
        <x:v>N/D</x:v>
      </x:c>
      <x:c r="AF83" s="3" t="str">
        <x:v>Classe non dichiarata nel testo consultato</x:v>
      </x:c>
      <x:c r="AG83" s="9" t="n">
        <x:v>46270</x:v>
      </x:c>
    </x:row>
    <x:row r="84" ht="48" customHeight="1">
      <x:c r="A84" s="3" t="n">
        <x:v>283</x:v>
      </x:c>
      <x:c r="B84" s="3" t="n">
        <x:v>103840995</x:v>
      </x:c>
      <x:c r="C84" s="3" t="str">
        <x:v>Immobiliare.it</x:v>
      </x:c>
      <x:c r="D84" s="3" t="str">
        <x:v>Affitto</x:v>
      </x:c>
      <x:c r="E84" s="3" t="str">
        <x:v>Quartiere Feltre</x:v>
      </x:c>
      <x:c r="F84" s="3" t="str">
        <x:v>via Rombon 29</x:v>
      </x:c>
      <x:c r="G84" s="3" t="str">
        <x:v>Bilocale</x:v>
      </x:c>
      <x:c r="H84" s="6" t="n">
        <x:v>980</x:v>
      </x:c>
      <x:c r="I84" s="7" t="n">
        <x:v>63</x:v>
      </x:c>
      <x:c r="J84" s="8" t="str">
        <x:f>IF(D84="Vendita",H84/I84,"")</x:f>
      </x:c>
      <x:c r="K84" s="8" t="n">
        <x:f>IF(D84="Affitto",H84/I84,"")</x:f>
        <x:v>15.555555555555555</x:v>
      </x:c>
      <x:c r="L84" s="3" t="n">
        <x:v>2</x:v>
      </x:c>
      <x:c r="M84" s="3" t="n">
        <x:v>1</x:v>
      </x:c>
      <x:c r="N84" s="3" t="str">
        <x:v>2</x:v>
      </x:c>
      <x:c r="O84" s="3" t="str">
        <x:v>Buono stato</x:v>
      </x:c>
      <x:c r="P84" s="3" t="str">
        <x:v>N/D</x:v>
      </x:c>
      <x:c r="Q84" s="3" t="str">
        <x:v>Sì</x:v>
      </x:c>
      <x:c r="R84" s="3" t="str">
        <x:v>Sì</x:v>
      </x:c>
      <x:c r="S84" s="3" t="str">
        <x:v>No</x:v>
      </x:c>
      <x:c r="T84" s="3" t="str">
        <x:v>Sì</x:v>
      </x:c>
      <x:c r="U84" s="3" t="str">
        <x:v>Sì</x:v>
      </x:c>
      <x:c r="V84" s="3" t="str">
        <x:v>N/D</x:v>
      </x:c>
      <x:c r="W84" s="3" t="str">
        <x:v>N/D</x:v>
      </x:c>
      <x:c r="X84" s="9" t="n">
        <x:v>46202</x:v>
      </x:c>
      <x:c r="Y84" s="3" t="str">
        <x:v>N/D</x:v>
      </x:c>
      <x:c r="Z84" s="3" t="str">
        <x:v>Ultimo aggiornamento esposto</x:v>
      </x:c>
      <x:c r="AA84" s="3" t="str">
        <x:v>N/D</x:v>
      </x:c>
      <x:c r="AB84" s="9" t="n">
        <x:v>46270</x:v>
      </x:c>
      <x:c r="AC84" s="3" t="str">
        <x:v>Dettaglio annuncio</x:v>
      </x:c>
      <x:c r="AD84" s="3" t="str">
        <x:v>Prima pubblicazione non esposta. Prezzo richiesto; aggiornamento distinto dalla rilevazione.</x:v>
      </x:c>
      <x:c r="AE84" s="3" t="str">
        <x:v>E</x:v>
      </x:c>
      <x:c r="AF84" s="3" t="str">
        <x:v>Classe dichiarata</x:v>
      </x:c>
      <x:c r="AG84" s="9" t="n">
        <x:v>46270</x:v>
      </x:c>
    </x:row>
    <x:row r="85" ht="48" customHeight="1">
      <x:c r="A85" s="3" t="n">
        <x:v>284</x:v>
      </x:c>
      <x:c r="B85" s="3" t="n">
        <x:v>127238461</x:v>
      </x:c>
      <x:c r="C85" s="3" t="str">
        <x:v>Immobiliare.it</x:v>
      </x:c>
      <x:c r="D85" s="3" t="str">
        <x:v>Affitto</x:v>
      </x:c>
      <x:c r="E85" s="3" t="str">
        <x:v>Bicocca</x:v>
      </x:c>
      <x:c r="F85" s="3" t="str">
        <x:v>piazza della Trivulziana 1</x:v>
      </x:c>
      <x:c r="G85" s="3" t="str">
        <x:v>Trilocale</x:v>
      </x:c>
      <x:c r="H85" s="6" t="n">
        <x:v>1300</x:v>
      </x:c>
      <x:c r="I85" s="7" t="n">
        <x:v>74</x:v>
      </x:c>
      <x:c r="J85" s="8" t="str">
        <x:f>IF(D85="Vendita",H85/I85,"")</x:f>
      </x:c>
      <x:c r="K85" s="8" t="n">
        <x:f>IF(D85="Affitto",H85/I85,"")</x:f>
        <x:v>17.56756756756757</x:v>
      </x:c>
      <x:c r="L85" s="3" t="n">
        <x:v>3</x:v>
      </x:c>
      <x:c r="M85" s="3" t="n">
        <x:v>1</x:v>
      </x:c>
      <x:c r="N85" s="3" t="str">
        <x:v>8</x:v>
      </x:c>
      <x:c r="O85" s="3" t="str">
        <x:v>Buono stato</x:v>
      </x:c>
      <x:c r="P85" s="3" t="str">
        <x:v>N/D</x:v>
      </x:c>
      <x:c r="Q85" s="3" t="str">
        <x:v>Sì</x:v>
      </x:c>
      <x:c r="R85" s="3" t="str">
        <x:v>No</x:v>
      </x:c>
      <x:c r="S85" s="3" t="str">
        <x:v>Sì</x:v>
      </x:c>
      <x:c r="T85" s="3" t="str">
        <x:v>Sì</x:v>
      </x:c>
      <x:c r="U85" s="3" t="str">
        <x:v>Sì</x:v>
      </x:c>
      <x:c r="V85" s="3" t="str">
        <x:v>N/D</x:v>
      </x:c>
      <x:c r="W85" s="3" t="str">
        <x:v>N/D</x:v>
      </x:c>
      <x:c r="X85" s="9" t="n">
        <x:v>46183</x:v>
      </x:c>
      <x:c r="Y85" s="3" t="str">
        <x:v>N/D</x:v>
      </x:c>
      <x:c r="Z85" s="3" t="str">
        <x:v>Ultimo aggiornamento esposto</x:v>
      </x:c>
      <x:c r="AA85" s="3" t="str">
        <x:v>N/D</x:v>
      </x:c>
      <x:c r="AB85" s="9" t="n">
        <x:v>46270</x:v>
      </x:c>
      <x:c r="AC85" s="3" t="str">
        <x:v>Dettaglio annuncio</x:v>
      </x:c>
      <x:c r="AD85" s="3" t="str">
        <x:v>Prima pubblicazione non esposta. Prezzo richiesto; aggiornamento distinto dalla rilevazione.</x:v>
      </x:c>
      <x:c r="AE85" s="3" t="str">
        <x:v>C</x:v>
      </x:c>
      <x:c r="AF85" s="3" t="str">
        <x:v>Classe dichiarata</x:v>
      </x:c>
      <x:c r="AG85" s="9" t="n">
        <x:v>46270</x:v>
      </x:c>
    </x:row>
    <x:row r="86" ht="48" customHeight="1">
      <x:c r="A86" s="3" t="n">
        <x:v>285</x:v>
      </x:c>
      <x:c r="B86" s="3" t="n">
        <x:v>129779052</x:v>
      </x:c>
      <x:c r="C86" s="3" t="str">
        <x:v>Immobiliare.it</x:v>
      </x:c>
      <x:c r="D86" s="3" t="str">
        <x:v>Affitto</x:v>
      </x:c>
      <x:c r="E86" s="3" t="str">
        <x:v>Bicocca</x:v>
      </x:c>
      <x:c r="F86" s="3" t="str">
        <x:v>piazza della Trivulziana 2</x:v>
      </x:c>
      <x:c r="G86" s="3" t="str">
        <x:v>Monolocale</x:v>
      </x:c>
      <x:c r="H86" s="6" t="n">
        <x:v>750</x:v>
      </x:c>
      <x:c r="I86" s="7" t="n">
        <x:v>37</x:v>
      </x:c>
      <x:c r="J86" s="8" t="str">
        <x:f>IF(D86="Vendita",H86/I86,"")</x:f>
      </x:c>
      <x:c r="K86" s="8" t="n">
        <x:f>IF(D86="Affitto",H86/I86,"")</x:f>
        <x:v>20.27027027027027</x:v>
      </x:c>
      <x:c r="L86" s="3" t="n">
        <x:v>1</x:v>
      </x:c>
      <x:c r="M86" s="3" t="n">
        <x:v>1</x:v>
      </x:c>
      <x:c r="N86" s="3" t="str">
        <x:v>4</x:v>
      </x:c>
      <x:c r="O86" s="3" t="str">
        <x:v>Buono stato</x:v>
      </x:c>
      <x:c r="P86" s="3" t="str">
        <x:v>N/D</x:v>
      </x:c>
      <x:c r="Q86" s="3" t="str">
        <x:v>Sì</x:v>
      </x:c>
      <x:c r="R86" s="3" t="str">
        <x:v>No</x:v>
      </x:c>
      <x:c r="S86" s="3" t="str">
        <x:v>No</x:v>
      </x:c>
      <x:c r="T86" s="3" t="str">
        <x:v>Sì</x:v>
      </x:c>
      <x:c r="U86" s="3" t="str">
        <x:v>Sì</x:v>
      </x:c>
      <x:c r="V86" s="3" t="str">
        <x:v>N/D</x:v>
      </x:c>
      <x:c r="W86" s="3" t="str">
        <x:v>N/D</x:v>
      </x:c>
      <x:c r="X86" s="9" t="n">
        <x:v>46183</x:v>
      </x:c>
      <x:c r="Y86" s="3" t="str">
        <x:v>N/D</x:v>
      </x:c>
      <x:c r="Z86" s="3" t="str">
        <x:v>Ultimo aggiornamento esposto</x:v>
      </x:c>
      <x:c r="AA86" s="3" t="str">
        <x:v>N/D</x:v>
      </x:c>
      <x:c r="AB86" s="9" t="n">
        <x:v>46270</x:v>
      </x:c>
      <x:c r="AC86" s="3" t="str">
        <x:v>Dettaglio annuncio</x:v>
      </x:c>
      <x:c r="AD86" s="3" t="str">
        <x:v>Prima pubblicazione non esposta. Prezzo richiesto; aggiornamento distinto dalla rilevazione.</x:v>
      </x:c>
      <x:c r="AE86" s="3" t="str">
        <x:v>D</x:v>
      </x:c>
      <x:c r="AF86" s="3" t="str">
        <x:v>Classe dichiarata</x:v>
      </x:c>
      <x:c r="AG86" s="9" t="n">
        <x:v>46270</x:v>
      </x:c>
    </x:row>
    <x:row r="87" ht="48" customHeight="1">
      <x:c r="A87" s="3" t="n">
        <x:v>286</x:v>
      </x:c>
      <x:c r="B87" s="3" t="n">
        <x:v>129784724</x:v>
      </x:c>
      <x:c r="C87" s="3" t="str">
        <x:v>Immobiliare.it</x:v>
      </x:c>
      <x:c r="D87" s="3" t="str">
        <x:v>Affitto</x:v>
      </x:c>
      <x:c r="E87" s="3" t="str">
        <x:v>Bicocca</x:v>
      </x:c>
      <x:c r="F87" s="3" t="str">
        <x:v>piazza della Trivulziana 4</x:v>
      </x:c>
      <x:c r="G87" s="3" t="str">
        <x:v>Monolocale</x:v>
      </x:c>
      <x:c r="H87" s="6" t="n">
        <x:v>720</x:v>
      </x:c>
      <x:c r="I87" s="7" t="n">
        <x:v>37</x:v>
      </x:c>
      <x:c r="J87" s="8" t="str">
        <x:f>IF(D87="Vendita",H87/I87,"")</x:f>
      </x:c>
      <x:c r="K87" s="8" t="n">
        <x:f>IF(D87="Affitto",H87/I87,"")</x:f>
        <x:v>19.45945945945946</x:v>
      </x:c>
      <x:c r="L87" s="3" t="n">
        <x:v>1</x:v>
      </x:c>
      <x:c r="M87" s="3" t="n">
        <x:v>1</x:v>
      </x:c>
      <x:c r="N87" s="3" t="str">
        <x:v>6</x:v>
      </x:c>
      <x:c r="O87" s="3" t="str">
        <x:v>Ottimo stato</x:v>
      </x:c>
      <x:c r="P87" s="3" t="str">
        <x:v>N/D</x:v>
      </x:c>
      <x:c r="Q87" s="3" t="str">
        <x:v>Sì</x:v>
      </x:c>
      <x:c r="R87" s="3" t="str">
        <x:v>No</x:v>
      </x:c>
      <x:c r="S87" s="3" t="str">
        <x:v>No</x:v>
      </x:c>
      <x:c r="T87" s="3" t="str">
        <x:v>Sì</x:v>
      </x:c>
      <x:c r="U87" s="3" t="str">
        <x:v>Sì</x:v>
      </x:c>
      <x:c r="V87" s="3" t="str">
        <x:v>N/D</x:v>
      </x:c>
      <x:c r="W87" s="3" t="str">
        <x:v>N/D</x:v>
      </x:c>
      <x:c r="X87" s="9" t="n">
        <x:v>46191</x:v>
      </x:c>
      <x:c r="Y87" s="3" t="str">
        <x:v>N/D</x:v>
      </x:c>
      <x:c r="Z87" s="3" t="str">
        <x:v>Ultimo aggiornamento esposto</x:v>
      </x:c>
      <x:c r="AA87" s="3" t="str">
        <x:v>N/D</x:v>
      </x:c>
      <x:c r="AB87" s="9" t="n">
        <x:v>46270</x:v>
      </x:c>
      <x:c r="AC87" s="3" t="str">
        <x:v>Dettaglio annuncio</x:v>
      </x:c>
      <x:c r="AD87" s="3" t="str">
        <x:v>Prima pubblicazione non esposta. Prezzo richiesto; aggiornamento distinto dalla rilevazione.</x:v>
      </x:c>
      <x:c r="AE87" s="3" t="str">
        <x:v>C</x:v>
      </x:c>
      <x:c r="AF87" s="3" t="str">
        <x:v>Classe dichiarata</x:v>
      </x:c>
      <x:c r="AG87" s="9" t="n">
        <x:v>46270</x:v>
      </x:c>
    </x:row>
    <x:row r="88" ht="48" customHeight="1">
      <x:c r="A88" s="3" t="n">
        <x:v>287</x:v>
      </x:c>
      <x:c r="B88" s="3" t="n">
        <x:v>129951754</x:v>
      </x:c>
      <x:c r="C88" s="3" t="str">
        <x:v>Immobiliare.it</x:v>
      </x:c>
      <x:c r="D88" s="3" t="str">
        <x:v>Affitto</x:v>
      </x:c>
      <x:c r="E88" s="3" t="str">
        <x:v>Bicocca</x:v>
      </x:c>
      <x:c r="F88" s="3" t="str">
        <x:v>via Luigi Pulci 13</x:v>
      </x:c>
      <x:c r="G88" s="3" t="str">
        <x:v>Bilocale</x:v>
      </x:c>
      <x:c r="H88" s="6" t="n">
        <x:v>1000</x:v>
      </x:c>
      <x:c r="I88" s="7" t="n">
        <x:v>65</x:v>
      </x:c>
      <x:c r="J88" s="8" t="str">
        <x:f>IF(D88="Vendita",H88/I88,"")</x:f>
      </x:c>
      <x:c r="K88" s="8" t="n">
        <x:f>IF(D88="Affitto",H88/I88,"")</x:f>
        <x:v>15.384615384615385</x:v>
      </x:c>
      <x:c r="L88" s="3" t="n">
        <x:v>2</x:v>
      </x:c>
      <x:c r="M88" s="3" t="n">
        <x:v>1</x:v>
      </x:c>
      <x:c r="N88" s="3" t="str">
        <x:v>2</x:v>
      </x:c>
      <x:c r="O88" s="3" t="str">
        <x:v>Buono stato</x:v>
      </x:c>
      <x:c r="P88" s="3" t="str">
        <x:v>N/D</x:v>
      </x:c>
      <x:c r="Q88" s="3" t="str">
        <x:v>Sì</x:v>
      </x:c>
      <x:c r="R88" s="3" t="str">
        <x:v>Sì</x:v>
      </x:c>
      <x:c r="S88" s="3" t="str">
        <x:v>No</x:v>
      </x:c>
      <x:c r="T88" s="3" t="str">
        <x:v>Solo Cucina Arredata</x:v>
      </x:c>
      <x:c r="U88" s="3" t="str">
        <x:v>N/D</x:v>
      </x:c>
      <x:c r="V88" s="3" t="str">
        <x:v>N/D</x:v>
      </x:c>
      <x:c r="W88" s="3" t="str">
        <x:v>N/D</x:v>
      </x:c>
      <x:c r="X88" s="9" t="n">
        <x:v>46265</x:v>
      </x:c>
      <x:c r="Y88" s="3" t="str">
        <x:v>N/D</x:v>
      </x:c>
      <x:c r="Z88" s="3" t="str">
        <x:v>Ultimo aggiornamento esposto</x:v>
      </x:c>
      <x:c r="AA88" s="3" t="str">
        <x:v>N/D</x:v>
      </x:c>
      <x:c r="AB88" s="9" t="n">
        <x:v>46270</x:v>
      </x:c>
      <x:c r="AC88" s="3" t="str">
        <x:v>Dettaglio annuncio</x:v>
      </x:c>
      <x:c r="AD88" s="3" t="str">
        <x:v>Prima pubblicazione non esposta. Prezzo richiesto; aggiornamento distinto dalla rilevazione.</x:v>
      </x:c>
      <x:c r="AE88" s="3" t="str">
        <x:v>G</x:v>
      </x:c>
      <x:c r="AF88" s="3" t="str">
        <x:v>Classe dichiarata</x:v>
      </x:c>
      <x:c r="AG88" s="9" t="n">
        <x:v>46270</x:v>
      </x:c>
    </x:row>
    <x:row r="89" ht="48" customHeight="1">
      <x:c r="A89" s="3" t="n">
        <x:v>288</x:v>
      </x:c>
      <x:c r="B89" s="3" t="n">
        <x:v>128991302</x:v>
      </x:c>
      <x:c r="C89" s="3" t="str">
        <x:v>Immobiliare.it</x:v>
      </x:c>
      <x:c r="D89" s="3" t="str">
        <x:v>Affitto</x:v>
      </x:c>
      <x:c r="E89" s="3" t="str">
        <x:v>Bicocca</x:v>
      </x:c>
      <x:c r="F89" s="3" t="str">
        <x:v>viale Fulvio Testi</x:v>
      </x:c>
      <x:c r="G89" s="3" t="str">
        <x:v>Bilocale</x:v>
      </x:c>
      <x:c r="H89" s="6" t="n">
        <x:v>1300</x:v>
      </x:c>
      <x:c r="I89" s="7" t="n">
        <x:v>75</x:v>
      </x:c>
      <x:c r="J89" s="8" t="str">
        <x:f>IF(D89="Vendita",H89/I89,"")</x:f>
      </x:c>
      <x:c r="K89" s="8" t="n">
        <x:f>IF(D89="Affitto",H89/I89,"")</x:f>
        <x:v>17.333333333333332</x:v>
      </x:c>
      <x:c r="L89" s="3" t="n">
        <x:v>2</x:v>
      </x:c>
      <x:c r="M89" s="3" t="n">
        <x:v>1</x:v>
      </x:c>
      <x:c r="N89" s="3" t="str">
        <x:v>12</x:v>
      </x:c>
      <x:c r="O89" s="3" t="str">
        <x:v>Ottimo stato</x:v>
      </x:c>
      <x:c r="P89" s="3" t="str">
        <x:v>N/D</x:v>
      </x:c>
      <x:c r="Q89" s="3" t="str">
        <x:v>Sì</x:v>
      </x:c>
      <x:c r="R89" s="3" t="str">
        <x:v>Sì</x:v>
      </x:c>
      <x:c r="S89" s="3" t="str">
        <x:v>Sì</x:v>
      </x:c>
      <x:c r="T89" s="3" t="str">
        <x:v>Sì</x:v>
      </x:c>
      <x:c r="U89" s="3" t="str">
        <x:v>Sì</x:v>
      </x:c>
      <x:c r="V89" s="3" t="str">
        <x:v>1 in box privato/box in garage</x:v>
      </x:c>
      <x:c r="W89" s="3" t="str">
        <x:v>N/D</x:v>
      </x:c>
      <x:c r="X89" s="9" t="n">
        <x:v>46233</x:v>
      </x:c>
      <x:c r="Y89" s="3" t="str">
        <x:v>N/D</x:v>
      </x:c>
      <x:c r="Z89" s="3" t="str">
        <x:v>Ultimo aggiornamento esposto</x:v>
      </x:c>
      <x:c r="AA89" s="3" t="str">
        <x:v>N/D</x:v>
      </x:c>
      <x:c r="AB89" s="9" t="n">
        <x:v>46270</x:v>
      </x:c>
      <x:c r="AC89" s="3" t="str">
        <x:v>Dettaglio annuncio</x:v>
      </x:c>
      <x:c r="AD89" s="3" t="str">
        <x:v>Prima pubblicazione non esposta. Prezzo richiesto; aggiornamento distinto dalla rilevazione.</x:v>
      </x:c>
      <x:c r="AE89" s="3" t="str">
        <x:v>F</x:v>
      </x:c>
      <x:c r="AF89" s="3" t="str">
        <x:v>Classe dichiarata</x:v>
      </x:c>
      <x:c r="AG89" s="9" t="n">
        <x:v>46270</x:v>
      </x:c>
    </x:row>
    <x:row r="90" ht="48" customHeight="1">
      <x:c r="A90" s="3" t="n">
        <x:v>289</x:v>
      </x:c>
      <x:c r="B90" s="3" t="n">
        <x:v>129758280</x:v>
      </x:c>
      <x:c r="C90" s="3" t="str">
        <x:v>Immobiliare.it</x:v>
      </x:c>
      <x:c r="D90" s="3" t="str">
        <x:v>Affitto</x:v>
      </x:c>
      <x:c r="E90" s="3" t="str">
        <x:v>Bignami - Ponale</x:v>
      </x:c>
      <x:c r="F90" s="3" t="str">
        <x:v>viale dell'Innovazione 24</x:v>
      </x:c>
      <x:c r="G90" s="3" t="str">
        <x:v>Bilocale</x:v>
      </x:c>
      <x:c r="H90" s="6" t="n">
        <x:v>1100</x:v>
      </x:c>
      <x:c r="I90" s="7" t="n">
        <x:v>55</x:v>
      </x:c>
      <x:c r="J90" s="8" t="str">
        <x:f>IF(D90="Vendita",H90/I90,"")</x:f>
      </x:c>
      <x:c r="K90" s="8" t="n">
        <x:f>IF(D90="Affitto",H90/I90,"")</x:f>
        <x:v>20</x:v>
      </x:c>
      <x:c r="L90" s="3" t="n">
        <x:v>2</x:v>
      </x:c>
      <x:c r="M90" s="3" t="n">
        <x:v>1</x:v>
      </x:c>
      <x:c r="N90" s="3" t="str">
        <x:v>5</x:v>
      </x:c>
      <x:c r="O90" s="3" t="str">
        <x:v>Ottimo stato</x:v>
      </x:c>
      <x:c r="P90" s="3" t="str">
        <x:v>N/D</x:v>
      </x:c>
      <x:c r="Q90" s="3" t="str">
        <x:v>Sì</x:v>
      </x:c>
      <x:c r="R90" s="3" t="str">
        <x:v>No</x:v>
      </x:c>
      <x:c r="S90" s="3" t="str">
        <x:v>No</x:v>
      </x:c>
      <x:c r="T90" s="3" t="str">
        <x:v>Sì</x:v>
      </x:c>
      <x:c r="U90" s="3" t="str">
        <x:v>N/D</x:v>
      </x:c>
      <x:c r="V90" s="3" t="str">
        <x:v>N/D</x:v>
      </x:c>
      <x:c r="W90" s="3" t="str">
        <x:v>N/D</x:v>
      </x:c>
      <x:c r="X90" s="9" t="n">
        <x:v>46204</x:v>
      </x:c>
      <x:c r="Y90" s="3" t="str">
        <x:v>N/D</x:v>
      </x:c>
      <x:c r="Z90" s="3" t="str">
        <x:v>Ultimo aggiornamento esposto</x:v>
      </x:c>
      <x:c r="AA90" s="3" t="str">
        <x:v>N/D</x:v>
      </x:c>
      <x:c r="AB90" s="9" t="n">
        <x:v>46270</x:v>
      </x:c>
      <x:c r="AC90" s="3" t="str">
        <x:v>Dettaglio annuncio</x:v>
      </x:c>
      <x:c r="AD90" s="3" t="str">
        <x:v>Prima pubblicazione non esposta. Prezzo richiesto; aggiornamento distinto dalla rilevazione.</x:v>
      </x:c>
      <x:c r="AE90" s="3" t="str">
        <x:v>E</x:v>
      </x:c>
      <x:c r="AF90" s="3" t="str">
        <x:v>Classe dichiarata</x:v>
      </x:c>
      <x:c r="AG90" s="9" t="n">
        <x:v>46270</x:v>
      </x:c>
    </x:row>
    <x:row r="91" ht="48" customHeight="1">
      <x:c r="A91" s="3" t="n">
        <x:v>290</x:v>
      </x:c>
      <x:c r="B91" s="3" t="n">
        <x:v>132050382</x:v>
      </x:c>
      <x:c r="C91" s="3" t="str">
        <x:v>Immobiliare.it</x:v>
      </x:c>
      <x:c r="D91" s="3" t="str">
        <x:v>Affitto</x:v>
      </x:c>
      <x:c r="E91" s="3" t="str">
        <x:v>Cadore</x:v>
      </x:c>
      <x:c r="F91" s="3" t="str">
        <x:v>piazzale Libia 19</x:v>
      </x:c>
      <x:c r="G91" s="3" t="str">
        <x:v>Bilocale</x:v>
      </x:c>
      <x:c r="H91" s="6" t="n">
        <x:v>1450</x:v>
      </x:c>
      <x:c r="I91" s="7" t="n">
        <x:v>45</x:v>
      </x:c>
      <x:c r="J91" s="8" t="str">
        <x:f>IF(D91="Vendita",H91/I91,"")</x:f>
      </x:c>
      <x:c r="K91" s="8" t="n">
        <x:f>IF(D91="Affitto",H91/I91,"")</x:f>
        <x:v>32.22222222222222</x:v>
      </x:c>
      <x:c r="L91" s="3" t="n">
        <x:v>2</x:v>
      </x:c>
      <x:c r="M91" s="3" t="n">
        <x:v>1</x:v>
      </x:c>
      <x:c r="N91" s="3" t="str">
        <x:v>3</x:v>
      </x:c>
      <x:c r="O91" s="3" t="str">
        <x:v>Nuovo</x:v>
      </x:c>
      <x:c r="P91" s="3" t="str">
        <x:v>N/D</x:v>
      </x:c>
      <x:c r="Q91" s="3" t="str">
        <x:v>Sì</x:v>
      </x:c>
      <x:c r="R91" s="3" t="str">
        <x:v>Sì</x:v>
      </x:c>
      <x:c r="S91" s="3" t="str">
        <x:v>No</x:v>
      </x:c>
      <x:c r="T91" s="3" t="str">
        <x:v>Sì</x:v>
      </x:c>
      <x:c r="U91" s="3" t="str">
        <x:v>N/D</x:v>
      </x:c>
      <x:c r="V91" s="3" t="str">
        <x:v>N/D</x:v>
      </x:c>
      <x:c r="W91" s="3" t="str">
        <x:v>N/D</x:v>
      </x:c>
      <x:c r="X91" s="9" t="n">
        <x:v>46265</x:v>
      </x:c>
      <x:c r="Y91" s="3" t="str">
        <x:v>N/D</x:v>
      </x:c>
      <x:c r="Z91" s="3" t="str">
        <x:v>Ultimo aggiornamento esposto</x:v>
      </x:c>
      <x:c r="AA91" s="3" t="str">
        <x:v>N/D</x:v>
      </x:c>
      <x:c r="AB91" s="9" t="n">
        <x:v>46270</x:v>
      </x:c>
      <x:c r="AC91" s="3" t="str">
        <x:v>Dettaglio annuncio</x:v>
      </x:c>
      <x:c r="AD91" s="3" t="str">
        <x:v>Prima pubblicazione non esposta. Prezzo richiesto; aggiornamento distinto dalla rilevazione.</x:v>
      </x:c>
      <x:c r="AE91" s="3" t="str">
        <x:v>G</x:v>
      </x:c>
      <x:c r="AF91" s="3" t="str">
        <x:v>Classe dichiarata</x:v>
      </x:c>
      <x:c r="AG91" s="9" t="n">
        <x:v>46270</x:v>
      </x:c>
    </x:row>
    <x:row r="92" ht="48" customHeight="1">
      <x:c r="A92" s="3" t="n">
        <x:v>291</x:v>
      </x:c>
      <x:c r="B92" s="3" t="n">
        <x:v>131297434</x:v>
      </x:c>
      <x:c r="C92" s="3" t="str">
        <x:v>Immobiliare.it</x:v>
      </x:c>
      <x:c r="D92" s="3" t="str">
        <x:v>Affitto</x:v>
      </x:c>
      <x:c r="E92" s="3" t="str">
        <x:v>Cadore</x:v>
      </x:c>
      <x:c r="F92" s="3" t="str">
        <x:v>piazzale Libia 9</x:v>
      </x:c>
      <x:c r="G92" s="3" t="str">
        <x:v>Trilocale</x:v>
      </x:c>
      <x:c r="H92" s="6" t="n">
        <x:v>2000</x:v>
      </x:c>
      <x:c r="I92" s="7" t="n">
        <x:v>110</x:v>
      </x:c>
      <x:c r="J92" s="8" t="str">
        <x:f>IF(D92="Vendita",H92/I92,"")</x:f>
      </x:c>
      <x:c r="K92" s="8" t="n">
        <x:f>IF(D92="Affitto",H92/I92,"")</x:f>
        <x:v>18.181818181818183</x:v>
      </x:c>
      <x:c r="L92" s="3" t="n">
        <x:v>3</x:v>
      </x:c>
      <x:c r="M92" s="3" t="n">
        <x:v>2</x:v>
      </x:c>
      <x:c r="N92" s="3" t="str">
        <x:v>1</x:v>
      </x:c>
      <x:c r="O92" s="3" t="str">
        <x:v>Ottimo stato</x:v>
      </x:c>
      <x:c r="P92" s="3" t="str">
        <x:v>N/D</x:v>
      </x:c>
      <x:c r="Q92" s="3" t="str">
        <x:v>Sì</x:v>
      </x:c>
      <x:c r="R92" s="3" t="str">
        <x:v>Sì</x:v>
      </x:c>
      <x:c r="S92" s="3" t="str">
        <x:v>No</x:v>
      </x:c>
      <x:c r="T92" s="3" t="str">
        <x:v>Parzialmente Arredato</x:v>
      </x:c>
      <x:c r="U92" s="3" t="str">
        <x:v>N/D</x:v>
      </x:c>
      <x:c r="V92" s="3" t="str">
        <x:v>N/D</x:v>
      </x:c>
      <x:c r="W92" s="3" t="str">
        <x:v>N/D</x:v>
      </x:c>
      <x:c r="X92" s="9" t="n">
        <x:v>46228</x:v>
      </x:c>
      <x:c r="Y92" s="3" t="str">
        <x:v>N/D</x:v>
      </x:c>
      <x:c r="Z92" s="3" t="str">
        <x:v>Ultimo aggiornamento esposto</x:v>
      </x:c>
      <x:c r="AA92" s="3" t="str">
        <x:v>N/D</x:v>
      </x:c>
      <x:c r="AB92" s="9" t="n">
        <x:v>46270</x:v>
      </x:c>
      <x:c r="AC92" s="3" t="str">
        <x:v>Dettaglio annuncio</x:v>
      </x:c>
      <x:c r="AD92" s="3" t="str">
        <x:v>Prima pubblicazione non esposta. Prezzo richiesto; aggiornamento distinto dalla rilevazione.</x:v>
      </x:c>
      <x:c r="AE92" s="3" t="str">
        <x:v>F</x:v>
      </x:c>
      <x:c r="AF92" s="3" t="str">
        <x:v>Classe dichiarata</x:v>
      </x:c>
      <x:c r="AG92" s="9" t="n">
        <x:v>46270</x:v>
      </x:c>
    </x:row>
    <x:row r="93" ht="48" customHeight="1">
      <x:c r="A93" s="3" t="n">
        <x:v>292</x:v>
      </x:c>
      <x:c r="B93" s="3" t="n">
        <x:v>132156572</x:v>
      </x:c>
      <x:c r="C93" s="3" t="str">
        <x:v>Immobiliare.it</x:v>
      </x:c>
      <x:c r="D93" s="3" t="str">
        <x:v>Affitto</x:v>
      </x:c>
      <x:c r="E93" s="3" t="str">
        <x:v>Cadore</x:v>
      </x:c>
      <x:c r="F93" s="3" t="str">
        <x:v>via Rezia</x:v>
      </x:c>
      <x:c r="G93" s="3" t="str">
        <x:v>Trilocale</x:v>
      </x:c>
      <x:c r="H93" s="6" t="n">
        <x:v>1060</x:v>
      </x:c>
      <x:c r="I93" s="7" t="n">
        <x:v>75</x:v>
      </x:c>
      <x:c r="J93" s="8" t="str">
        <x:f>IF(D93="Vendita",H93/I93,"")</x:f>
      </x:c>
      <x:c r="K93" s="8" t="n">
        <x:f>IF(D93="Affitto",H93/I93,"")</x:f>
        <x:v>14.133333333333333</x:v>
      </x:c>
      <x:c r="L93" s="3" t="n">
        <x:v>3</x:v>
      </x:c>
      <x:c r="M93" s="3" t="n">
        <x:v>1</x:v>
      </x:c>
      <x:c r="N93" s="3" t="str">
        <x:v>8</x:v>
      </x:c>
      <x:c r="O93" s="3" t="str">
        <x:v>Ottimo stato</x:v>
      </x:c>
      <x:c r="P93" s="3" t="str">
        <x:v>N/D</x:v>
      </x:c>
      <x:c r="Q93" s="3" t="str">
        <x:v>Sì</x:v>
      </x:c>
      <x:c r="R93" s="3" t="str">
        <x:v>Sì</x:v>
      </x:c>
      <x:c r="S93" s="3" t="str">
        <x:v>No</x:v>
      </x:c>
      <x:c r="T93" s="3" t="str">
        <x:v>Sì</x:v>
      </x:c>
      <x:c r="U93" s="3" t="str">
        <x:v>N/D</x:v>
      </x:c>
      <x:c r="V93" s="3" t="str">
        <x:v>N/D</x:v>
      </x:c>
      <x:c r="W93" s="3" t="str">
        <x:v>N/D</x:v>
      </x:c>
      <x:c r="X93" s="9" t="n">
        <x:v>46268</x:v>
      </x:c>
      <x:c r="Y93" s="3" t="str">
        <x:v>N/D</x:v>
      </x:c>
      <x:c r="Z93" s="3" t="str">
        <x:v>Ultimo aggiornamento esposto</x:v>
      </x:c>
      <x:c r="AA93" s="3" t="str">
        <x:v>N/D</x:v>
      </x:c>
      <x:c r="AB93" s="9" t="n">
        <x:v>46270</x:v>
      </x:c>
      <x:c r="AC93" s="3" t="str">
        <x:v>Dettaglio annuncio</x:v>
      </x:c>
      <x:c r="AD93" s="3" t="str">
        <x:v>Prima pubblicazione non esposta. Prezzo richiesto; aggiornamento distinto dalla rilevazione.</x:v>
      </x:c>
      <x:c r="AE93" s="3" t="str">
        <x:v>D</x:v>
      </x:c>
      <x:c r="AF93" s="3" t="str">
        <x:v>Classe dichiarata</x:v>
      </x:c>
      <x:c r="AG93" s="9" t="n">
        <x:v>46270</x:v>
      </x:c>
    </x:row>
    <x:row r="94" ht="48" customHeight="1">
      <x:c r="A94" s="3" t="n">
        <x:v>293</x:v>
      </x:c>
      <x:c r="B94" s="3" t="n">
        <x:v>131853884</x:v>
      </x:c>
      <x:c r="C94" s="3" t="str">
        <x:v>Immobiliare.it</x:v>
      </x:c>
      <x:c r="D94" s="3" t="str">
        <x:v>Affitto</x:v>
      </x:c>
      <x:c r="E94" s="3" t="str">
        <x:v>Farini</x:v>
      </x:c>
      <x:c r="F94" s="3" t="str">
        <x:v>via Carlo Farini 55</x:v>
      </x:c>
      <x:c r="G94" s="3" t="str">
        <x:v>Bilocale</x:v>
      </x:c>
      <x:c r="H94" s="6" t="n">
        <x:v>1200</x:v>
      </x:c>
      <x:c r="I94" s="7" t="n">
        <x:v>54</x:v>
      </x:c>
      <x:c r="J94" s="8" t="str">
        <x:f>IF(D94="Vendita",H94/I94,"")</x:f>
      </x:c>
      <x:c r="K94" s="8" t="n">
        <x:f>IF(D94="Affitto",H94/I94,"")</x:f>
        <x:v>22.22222222222222</x:v>
      </x:c>
      <x:c r="L94" s="3" t="n">
        <x:v>2</x:v>
      </x:c>
      <x:c r="M94" s="3" t="n">
        <x:v>1</x:v>
      </x:c>
      <x:c r="N94" s="3" t="str">
        <x:v>3</x:v>
      </x:c>
      <x:c r="O94" s="3" t="str">
        <x:v>Ottimo stato</x:v>
      </x:c>
      <x:c r="P94" s="3" t="str">
        <x:v>N/D</x:v>
      </x:c>
      <x:c r="Q94" s="3" t="str">
        <x:v>Sì</x:v>
      </x:c>
      <x:c r="R94" s="3" t="str">
        <x:v>Sì</x:v>
      </x:c>
      <x:c r="S94" s="3" t="str">
        <x:v>No</x:v>
      </x:c>
      <x:c r="T94" s="3" t="str">
        <x:v>Sì</x:v>
      </x:c>
      <x:c r="U94" s="3" t="str">
        <x:v>N/D</x:v>
      </x:c>
      <x:c r="V94" s="3" t="str">
        <x:v>N/D</x:v>
      </x:c>
      <x:c r="W94" s="3" t="str">
        <x:v>N/D</x:v>
      </x:c>
      <x:c r="X94" s="9" t="n">
        <x:v>46254</x:v>
      </x:c>
      <x:c r="Y94" s="3" t="str">
        <x:v>N/D</x:v>
      </x:c>
      <x:c r="Z94" s="3" t="str">
        <x:v>Ultimo aggiornamento esposto</x:v>
      </x:c>
      <x:c r="AA94" s="3" t="str">
        <x:v>N/D</x:v>
      </x:c>
      <x:c r="AB94" s="9" t="n">
        <x:v>46270</x:v>
      </x:c>
      <x:c r="AC94" s="3" t="str">
        <x:v>Dettaglio annuncio</x:v>
      </x:c>
      <x:c r="AD94" s="3" t="str">
        <x:v>Prima pubblicazione non esposta. Prezzo richiesto; aggiornamento distinto dalla rilevazione.</x:v>
      </x:c>
      <x:c r="AE94" s="3" t="str">
        <x:v>F</x:v>
      </x:c>
      <x:c r="AF94" s="3" t="str">
        <x:v>Classe dichiarata</x:v>
      </x:c>
      <x:c r="AG94" s="9" t="n">
        <x:v>46270</x:v>
      </x:c>
    </x:row>
    <x:row r="95" ht="48" customHeight="1">
      <x:c r="A95" s="3" t="n">
        <x:v>294</x:v>
      </x:c>
      <x:c r="B95" s="3" t="n">
        <x:v>132011530</x:v>
      </x:c>
      <x:c r="C95" s="3" t="str">
        <x:v>Immobiliare.it</x:v>
      </x:c>
      <x:c r="D95" s="3" t="str">
        <x:v>Affitto</x:v>
      </x:c>
      <x:c r="E95" s="3" t="str">
        <x:v>Greco - Segnano</x:v>
      </x:c>
      <x:c r="F95" s="3" t="str">
        <x:v>viale Sarca 98</x:v>
      </x:c>
      <x:c r="G95" s="3" t="str">
        <x:v>Bilocale</x:v>
      </x:c>
      <x:c r="H95" s="6" t="n">
        <x:v>1000</x:v>
      </x:c>
      <x:c r="I95" s="7" t="n">
        <x:v>55</x:v>
      </x:c>
      <x:c r="J95" s="8" t="str">
        <x:f>IF(D95="Vendita",H95/I95,"")</x:f>
      </x:c>
      <x:c r="K95" s="8" t="n">
        <x:f>IF(D95="Affitto",H95/I95,"")</x:f>
        <x:v>18.181818181818183</x:v>
      </x:c>
      <x:c r="L95" s="3" t="n">
        <x:v>2</x:v>
      </x:c>
      <x:c r="M95" s="3" t="n">
        <x:v>1</x:v>
      </x:c>
      <x:c r="N95" s="3" t="str">
        <x:v>1</x:v>
      </x:c>
      <x:c r="O95" s="3" t="str">
        <x:v>Ottimo stato</x:v>
      </x:c>
      <x:c r="P95" s="3" t="str">
        <x:v>N/D</x:v>
      </x:c>
      <x:c r="Q95" s="3" t="str">
        <x:v>Sì</x:v>
      </x:c>
      <x:c r="R95" s="3" t="str">
        <x:v>Sì</x:v>
      </x:c>
      <x:c r="S95" s="3" t="str">
        <x:v>No</x:v>
      </x:c>
      <x:c r="T95" s="3" t="str">
        <x:v>Sì</x:v>
      </x:c>
      <x:c r="U95" s="3" t="str">
        <x:v>Sì</x:v>
      </x:c>
      <x:c r="V95" s="3" t="str">
        <x:v>N/D</x:v>
      </x:c>
      <x:c r="W95" s="3" t="str">
        <x:v>N/D</x:v>
      </x:c>
      <x:c r="X95" s="9" t="n">
        <x:v>46265</x:v>
      </x:c>
      <x:c r="Y95" s="3" t="str">
        <x:v>N/D</x:v>
      </x:c>
      <x:c r="Z95" s="3" t="str">
        <x:v>Ultimo aggiornamento esposto</x:v>
      </x:c>
      <x:c r="AA95" s="3" t="str">
        <x:v>N/D</x:v>
      </x:c>
      <x:c r="AB95" s="9" t="n">
        <x:v>46270</x:v>
      </x:c>
      <x:c r="AC95" s="3" t="str">
        <x:v>Dettaglio annuncio</x:v>
      </x:c>
      <x:c r="AD95" s="3" t="str">
        <x:v>Prima pubblicazione non esposta. Prezzo richiesto; aggiornamento distinto dalla rilevazione.</x:v>
      </x:c>
      <x:c r="AE95" s="3" t="str">
        <x:v>F</x:v>
      </x:c>
      <x:c r="AF95" s="3" t="str">
        <x:v>Classe dichiarata</x:v>
      </x:c>
      <x:c r="AG95" s="9" t="n">
        <x:v>46270</x:v>
      </x:c>
    </x:row>
    <x:row r="96" ht="48" customHeight="1">
      <x:c r="A96" s="3" t="n">
        <x:v>295</x:v>
      </x:c>
      <x:c r="B96" s="3" t="n">
        <x:v>130488410</x:v>
      </x:c>
      <x:c r="C96" s="3" t="str">
        <x:v>Immobiliare.it</x:v>
      </x:c>
      <x:c r="D96" s="3" t="str">
        <x:v>Affitto</x:v>
      </x:c>
      <x:c r="E96" s="3" t="str">
        <x:v>Montenero</x:v>
      </x:c>
      <x:c r="F96" s="3" t="str">
        <x:v>via Andrea Maffei</x:v>
      </x:c>
      <x:c r="G96" s="3" t="str">
        <x:v>Bilocale</x:v>
      </x:c>
      <x:c r="H96" s="6" t="n">
        <x:v>1300</x:v>
      </x:c>
      <x:c r="I96" s="7" t="n">
        <x:v>45</x:v>
      </x:c>
      <x:c r="J96" s="8" t="str">
        <x:f>IF(D96="Vendita",H96/I96,"")</x:f>
      </x:c>
      <x:c r="K96" s="8" t="n">
        <x:f>IF(D96="Affitto",H96/I96,"")</x:f>
        <x:v>28.88888888888889</x:v>
      </x:c>
      <x:c r="L96" s="3" t="n">
        <x:v>2</x:v>
      </x:c>
      <x:c r="M96" s="3" t="n">
        <x:v>1</x:v>
      </x:c>
      <x:c r="N96" s="3" t="str">
        <x:v>2</x:v>
      </x:c>
      <x:c r="O96" s="3" t="str">
        <x:v>Ottimo stato</x:v>
      </x:c>
      <x:c r="P96" s="3" t="str">
        <x:v>N/D</x:v>
      </x:c>
      <x:c r="Q96" s="3" t="str">
        <x:v>Sì</x:v>
      </x:c>
      <x:c r="R96" s="3" t="str">
        <x:v>No</x:v>
      </x:c>
      <x:c r="S96" s="3" t="str">
        <x:v>No</x:v>
      </x:c>
      <x:c r="T96" s="3" t="str">
        <x:v>Sì</x:v>
      </x:c>
      <x:c r="U96" s="3" t="str">
        <x:v>N/D</x:v>
      </x:c>
      <x:c r="V96" s="3" t="str">
        <x:v>N/D</x:v>
      </x:c>
      <x:c r="W96" s="3" t="str">
        <x:v>N/D</x:v>
      </x:c>
      <x:c r="X96" s="9" t="n">
        <x:v>46211</x:v>
      </x:c>
      <x:c r="Y96" s="3" t="str">
        <x:v>N/D</x:v>
      </x:c>
      <x:c r="Z96" s="3" t="str">
        <x:v>Ultimo aggiornamento esposto</x:v>
      </x:c>
      <x:c r="AA96" s="3" t="str">
        <x:v>N/D</x:v>
      </x:c>
      <x:c r="AB96" s="9" t="n">
        <x:v>46270</x:v>
      </x:c>
      <x:c r="AC96" s="3" t="str">
        <x:v>Dettaglio annuncio</x:v>
      </x:c>
      <x:c r="AD96" s="3" t="str">
        <x:v>Prima pubblicazione non esposta. Prezzo richiesto; aggiornamento distinto dalla rilevazione.</x:v>
      </x:c>
      <x:c r="AE96" s="3" t="str">
        <x:v>E</x:v>
      </x:c>
      <x:c r="AF96" s="3" t="str">
        <x:v>Classe dichiarata</x:v>
      </x:c>
      <x:c r="AG96" s="9" t="n">
        <x:v>46270</x:v>
      </x:c>
    </x:row>
    <x:row r="97" ht="48" customHeight="1">
      <x:c r="A97" s="3" t="n">
        <x:v>296</x:v>
      </x:c>
      <x:c r="B97" s="3" t="n">
        <x:v>132057326</x:v>
      </x:c>
      <x:c r="C97" s="3" t="str">
        <x:v>Immobiliare.it</x:v>
      </x:c>
      <x:c r="D97" s="3" t="str">
        <x:v>Affitto</x:v>
      </x:c>
      <x:c r="E97" s="3" t="str">
        <x:v>Montenero</x:v>
      </x:c>
      <x:c r="F97" s="3" t="str">
        <x:v>via Spartaco 11</x:v>
      </x:c>
      <x:c r="G97" s="3" t="str">
        <x:v>Trilocale</x:v>
      </x:c>
      <x:c r="H97" s="6" t="n">
        <x:v>2390</x:v>
      </x:c>
      <x:c r="I97" s="7" t="n">
        <x:v>90</x:v>
      </x:c>
      <x:c r="J97" s="8" t="str">
        <x:f>IF(D97="Vendita",H97/I97,"")</x:f>
      </x:c>
      <x:c r="K97" s="8" t="n">
        <x:f>IF(D97="Affitto",H97/I97,"")</x:f>
        <x:v>26.555555555555557</x:v>
      </x:c>
      <x:c r="L97" s="3" t="n">
        <x:v>3</x:v>
      </x:c>
      <x:c r="M97" s="3" t="n">
        <x:v>1</x:v>
      </x:c>
      <x:c r="N97" s="3" t="str">
        <x:v>Piano terra, piano rialzato</x:v>
      </x:c>
      <x:c r="O97" s="3" t="str">
        <x:v>Ottimo stato</x:v>
      </x:c>
      <x:c r="P97" s="3" t="str">
        <x:v>N/D</x:v>
      </x:c>
      <x:c r="Q97" s="3" t="str">
        <x:v>Sì</x:v>
      </x:c>
      <x:c r="R97" s="3" t="str">
        <x:v>No</x:v>
      </x:c>
      <x:c r="S97" s="3" t="str">
        <x:v>No</x:v>
      </x:c>
      <x:c r="T97" s="3" t="str">
        <x:v>Parzialmente Arredato</x:v>
      </x:c>
      <x:c r="U97" s="3" t="str">
        <x:v>Sì</x:v>
      </x:c>
      <x:c r="V97" s="3" t="str">
        <x:v>N/D</x:v>
      </x:c>
      <x:c r="W97" s="3" t="str">
        <x:v>N/D</x:v>
      </x:c>
      <x:c r="X97" s="9" t="n">
        <x:v>46265</x:v>
      </x:c>
      <x:c r="Y97" s="3" t="str">
        <x:v>N/D</x:v>
      </x:c>
      <x:c r="Z97" s="3" t="str">
        <x:v>Ultimo aggiornamento esposto</x:v>
      </x:c>
      <x:c r="AA97" s="3" t="str">
        <x:v>N/D</x:v>
      </x:c>
      <x:c r="AB97" s="9" t="n">
        <x:v>46270</x:v>
      </x:c>
      <x:c r="AC97" s="3" t="str">
        <x:v>Dettaglio annuncio</x:v>
      </x:c>
      <x:c r="AD97" s="3" t="str">
        <x:v>Prima pubblicazione non esposta. Prezzo richiesto; aggiornamento distinto dalla rilevazione.</x:v>
      </x:c>
      <x:c r="AE97" s="3" t="str">
        <x:v>F</x:v>
      </x:c>
      <x:c r="AF97" s="3" t="str">
        <x:v>Classe dichiarata</x:v>
      </x:c>
      <x:c r="AG97" s="9" t="n">
        <x:v>46270</x:v>
      </x:c>
    </x:row>
    <x:row r="98" ht="48" customHeight="1">
      <x:c r="A98" s="3" t="n">
        <x:v>297</x:v>
      </x:c>
      <x:c r="B98" s="3" t="n">
        <x:v>131158260</x:v>
      </x:c>
      <x:c r="C98" s="3" t="str">
        <x:v>Immobiliare.it</x:v>
      </x:c>
      <x:c r="D98" s="3" t="str">
        <x:v>Affitto</x:v>
      </x:c>
      <x:c r="E98" s="3" t="str">
        <x:v>Prato Centenaro</x:v>
      </x:c>
      <x:c r="F98" s="3" t="str">
        <x:v>via Luigi Mainoni d'Intignano 18</x:v>
      </x:c>
      <x:c r="G98" s="3" t="str">
        <x:v>Monolocale</x:v>
      </x:c>
      <x:c r="H98" s="6" t="n">
        <x:v>750</x:v>
      </x:c>
      <x:c r="I98" s="7" t="n">
        <x:v>25</x:v>
      </x:c>
      <x:c r="J98" s="8" t="str">
        <x:f>IF(D98="Vendita",H98/I98,"")</x:f>
      </x:c>
      <x:c r="K98" s="8" t="n">
        <x:f>IF(D98="Affitto",H98/I98,"")</x:f>
        <x:v>30</x:v>
      </x:c>
      <x:c r="L98" s="3" t="n">
        <x:v>1</x:v>
      </x:c>
      <x:c r="M98" s="3" t="n">
        <x:v>1</x:v>
      </x:c>
      <x:c r="N98" s="3" t="str">
        <x:v>2</x:v>
      </x:c>
      <x:c r="O98" s="3" t="str">
        <x:v>Nuovo</x:v>
      </x:c>
      <x:c r="P98" s="3" t="str">
        <x:v>N/D</x:v>
      </x:c>
      <x:c r="Q98" s="3" t="str">
        <x:v>Sì</x:v>
      </x:c>
      <x:c r="R98" s="3" t="str">
        <x:v>Sì</x:v>
      </x:c>
      <x:c r="S98" s="3" t="str">
        <x:v>No</x:v>
      </x:c>
      <x:c r="T98" s="3" t="str">
        <x:v>Sì</x:v>
      </x:c>
      <x:c r="U98" s="3" t="str">
        <x:v>Sì</x:v>
      </x:c>
      <x:c r="V98" s="3" t="str">
        <x:v>N/D</x:v>
      </x:c>
      <x:c r="W98" s="3" t="str">
        <x:v>N/D</x:v>
      </x:c>
      <x:c r="X98" s="9" t="n">
        <x:v>46247</x:v>
      </x:c>
      <x:c r="Y98" s="3" t="str">
        <x:v>N/D</x:v>
      </x:c>
      <x:c r="Z98" s="3" t="str">
        <x:v>Ultimo aggiornamento esposto</x:v>
      </x:c>
      <x:c r="AA98" s="3" t="str">
        <x:v>N/D</x:v>
      </x:c>
      <x:c r="AB98" s="9" t="n">
        <x:v>46270</x:v>
      </x:c>
      <x:c r="AC98" s="3" t="str">
        <x:v>Dettaglio annuncio</x:v>
      </x:c>
      <x:c r="AD98" s="3" t="str">
        <x:v>Prima pubblicazione non esposta. Prezzo richiesto; aggiornamento distinto dalla rilevazione.</x:v>
      </x:c>
      <x:c r="AE98" s="3" t="str">
        <x:v>D</x:v>
      </x:c>
      <x:c r="AF98" s="3" t="str">
        <x:v>Classe dichiarata</x:v>
      </x:c>
      <x:c r="AG98" s="9" t="n">
        <x:v>46270</x:v>
      </x:c>
    </x:row>
    <x:row r="99" ht="48" customHeight="1">
      <x:c r="A99" s="3" t="n">
        <x:v>298</x:v>
      </x:c>
      <x:c r="B99" s="3" t="n">
        <x:v>128671456</x:v>
      </x:c>
      <x:c r="C99" s="3" t="str">
        <x:v>Immobiliare.it</x:v>
      </x:c>
      <x:c r="D99" s="3" t="str">
        <x:v>Affitto</x:v>
      </x:c>
      <x:c r="E99" s="3" t="str">
        <x:v>Prato Centenaro</x:v>
      </x:c>
      <x:c r="F99" s="3" t="str">
        <x:v>via Santa Monica 3</x:v>
      </x:c>
      <x:c r="G99" s="3" t="str">
        <x:v>Bilocale</x:v>
      </x:c>
      <x:c r="H99" s="6" t="n">
        <x:v>1000</x:v>
      </x:c>
      <x:c r="I99" s="7" t="n">
        <x:v>54</x:v>
      </x:c>
      <x:c r="J99" s="8" t="str">
        <x:f>IF(D99="Vendita",H99/I99,"")</x:f>
      </x:c>
      <x:c r="K99" s="8" t="n">
        <x:f>IF(D99="Affitto",H99/I99,"")</x:f>
        <x:v>18.51851851851852</x:v>
      </x:c>
      <x:c r="L99" s="3" t="n">
        <x:v>2</x:v>
      </x:c>
      <x:c r="M99" s="3" t="n">
        <x:v>1</x:v>
      </x:c>
      <x:c r="N99" s="3" t="str">
        <x:v>Piano terra</x:v>
      </x:c>
      <x:c r="O99" s="3" t="str">
        <x:v>Ottimo stato</x:v>
      </x:c>
      <x:c r="P99" s="3" t="str">
        <x:v>N/D</x:v>
      </x:c>
      <x:c r="Q99" s="3" t="str">
        <x:v>Sì</x:v>
      </x:c>
      <x:c r="R99" s="3" t="str">
        <x:v>No</x:v>
      </x:c>
      <x:c r="S99" s="3" t="str">
        <x:v>No</x:v>
      </x:c>
      <x:c r="T99" s="3" t="str">
        <x:v>Sì</x:v>
      </x:c>
      <x:c r="U99" s="3" t="str">
        <x:v>Sì</x:v>
      </x:c>
      <x:c r="V99" s="3" t="str">
        <x:v>N/D</x:v>
      </x:c>
      <x:c r="W99" s="3" t="str">
        <x:v>N/D</x:v>
      </x:c>
      <x:c r="X99" s="9" t="n">
        <x:v>46237</x:v>
      </x:c>
      <x:c r="Y99" s="3" t="str">
        <x:v>N/D</x:v>
      </x:c>
      <x:c r="Z99" s="3" t="str">
        <x:v>Ultimo aggiornamento esposto</x:v>
      </x:c>
      <x:c r="AA99" s="3" t="str">
        <x:v>N/D</x:v>
      </x:c>
      <x:c r="AB99" s="9" t="n">
        <x:v>46270</x:v>
      </x:c>
      <x:c r="AC99" s="3" t="str">
        <x:v>Dettaglio annuncio</x:v>
      </x:c>
      <x:c r="AD99" s="3" t="str">
        <x:v>Prima pubblicazione non esposta. Prezzo richiesto; aggiornamento distinto dalla rilevazione.</x:v>
      </x:c>
      <x:c r="AE99" s="3" t="str">
        <x:v>E</x:v>
      </x:c>
      <x:c r="AF99" s="3" t="str">
        <x:v>Classe dichiarata</x:v>
      </x:c>
      <x:c r="AG99" s="9" t="n">
        <x:v>46270</x:v>
      </x:c>
    </x:row>
    <x:row r="100" ht="48" customHeight="1">
      <x:c r="A100" s="3" t="n">
        <x:v>299</x:v>
      </x:c>
      <x:c r="B100" s="3" t="n">
        <x:v>129040008</x:v>
      </x:c>
      <x:c r="C100" s="3" t="str">
        <x:v>Immobiliare.it</x:v>
      </x:c>
      <x:c r="D100" s="3" t="str">
        <x:v>Affitto</x:v>
      </x:c>
      <x:c r="E100" s="3" t="str">
        <x:v>Quartiere Forlanini</x:v>
      </x:c>
      <x:c r="F100" s="3" t="str">
        <x:v>piazza Ovidio</x:v>
      </x:c>
      <x:c r="G100" s="3" t="str">
        <x:v>Bilocale</x:v>
      </x:c>
      <x:c r="H100" s="6" t="n">
        <x:v>800</x:v>
      </x:c>
      <x:c r="I100" s="7" t="n">
        <x:v>46</x:v>
      </x:c>
      <x:c r="J100" s="8" t="str">
        <x:f>IF(D100="Vendita",H100/I100,"")</x:f>
      </x:c>
      <x:c r="K100" s="8" t="n">
        <x:f>IF(D100="Affitto",H100/I100,"")</x:f>
        <x:v>17.391304347826086</x:v>
      </x:c>
      <x:c r="L100" s="3" t="n">
        <x:v>2</x:v>
      </x:c>
      <x:c r="M100" s="3" t="n">
        <x:v>1</x:v>
      </x:c>
      <x:c r="N100" s="3" t="str">
        <x:v>2</x:v>
      </x:c>
      <x:c r="O100" s="3" t="str">
        <x:v>Ottimo stato</x:v>
      </x:c>
      <x:c r="P100" s="3" t="str">
        <x:v>N/D</x:v>
      </x:c>
      <x:c r="Q100" s="3" t="str">
        <x:v>Sì</x:v>
      </x:c>
      <x:c r="R100" s="3" t="str">
        <x:v>No</x:v>
      </x:c>
      <x:c r="S100" s="3" t="str">
        <x:v>No</x:v>
      </x:c>
      <x:c r="T100" s="3" t="str">
        <x:v>Sì</x:v>
      </x:c>
      <x:c r="U100" s="3" t="str">
        <x:v>N/D</x:v>
      </x:c>
      <x:c r="V100" s="3" t="str">
        <x:v>1 posto auto</x:v>
      </x:c>
      <x:c r="W100" s="3" t="str">
        <x:v>N/D</x:v>
      </x:c>
      <x:c r="X100" s="9" t="n">
        <x:v>46216</x:v>
      </x:c>
      <x:c r="Y100" s="3" t="str">
        <x:v>N/D</x:v>
      </x:c>
      <x:c r="Z100" s="3" t="str">
        <x:v>Ultimo aggiornamento esposto</x:v>
      </x:c>
      <x:c r="AA100" s="3" t="str">
        <x:v>N/D</x:v>
      </x:c>
      <x:c r="AB100" s="9" t="n">
        <x:v>46270</x:v>
      </x:c>
      <x:c r="AC100" s="3" t="str">
        <x:v>Dettaglio annuncio</x:v>
      </x:c>
      <x:c r="AD100" s="3" t="str">
        <x:v>Prima pubblicazione non esposta. Prezzo richiesto; aggiornamento distinto dalla rilevazione.</x:v>
      </x:c>
      <x:c r="AE100" s="3" t="str">
        <x:v>G</x:v>
      </x:c>
      <x:c r="AF100" s="3" t="str">
        <x:v>Classe dichiarata</x:v>
      </x:c>
      <x:c r="AG100" s="9" t="n">
        <x:v>46270</x:v>
      </x:c>
    </x:row>
    <x:row r="101" ht="48" customHeight="1">
      <x:c r="A101" s="3" t="n">
        <x:v>300</x:v>
      </x:c>
      <x:c r="B101" s="3" t="n">
        <x:v>130450826</x:v>
      </x:c>
      <x:c r="C101" s="3" t="str">
        <x:v>Immobiliare.it</x:v>
      </x:c>
      <x:c r="D101" s="3" t="str">
        <x:v>Affitto</x:v>
      </x:c>
      <x:c r="E101" s="3" t="str">
        <x:v>Turati</x:v>
      </x:c>
      <x:c r="F101" s="3" t="str">
        <x:v>via Goito 5</x:v>
      </x:c>
      <x:c r="G101" s="3" t="str">
        <x:v>Quadrilocale</x:v>
      </x:c>
      <x:c r="H101" s="6" t="n">
        <x:v>9166</x:v>
      </x:c>
      <x:c r="I101" s="7" t="n">
        <x:v>190</x:v>
      </x:c>
      <x:c r="J101" s="8" t="str">
        <x:f>IF(D101="Vendita",H101/I101,"")</x:f>
      </x:c>
      <x:c r="K101" s="8" t="n">
        <x:f>IF(D101="Affitto",H101/I101,"")</x:f>
        <x:v>48.242105263157896</x:v>
      </x:c>
      <x:c r="L101" s="3" t="n">
        <x:v>4</x:v>
      </x:c>
      <x:c r="M101" s="3" t="n">
        <x:v>3</x:v>
      </x:c>
      <x:c r="N101" s="3" t="str">
        <x:v>6</x:v>
      </x:c>
      <x:c r="O101" s="3" t="str">
        <x:v>Ottimo stato</x:v>
      </x:c>
      <x:c r="P101" s="3" t="str">
        <x:v>N/D</x:v>
      </x:c>
      <x:c r="Q101" s="3" t="str">
        <x:v>No</x:v>
      </x:c>
      <x:c r="R101" s="3" t="str">
        <x:v>Sì</x:v>
      </x:c>
      <x:c r="S101" s="3" t="str">
        <x:v>N/D</x:v>
      </x:c>
      <x:c r="T101" s="3" t="str">
        <x:v>Parzialmente Arredato</x:v>
      </x:c>
      <x:c r="U101" s="3" t="str">
        <x:v>N/D</x:v>
      </x:c>
      <x:c r="V101" s="3" t="str">
        <x:v>1 in box privato/box in garage</x:v>
      </x:c>
      <x:c r="W101" s="3" t="str">
        <x:v>N/D</x:v>
      </x:c>
      <x:c r="X101" s="9" t="n">
        <x:v>46202</x:v>
      </x:c>
      <x:c r="Y101" s="3" t="str">
        <x:v>N/D</x:v>
      </x:c>
      <x:c r="Z101" s="3" t="str">
        <x:v>Ultimo aggiornamento esposto</x:v>
      </x:c>
      <x:c r="AA101" s="3" t="str">
        <x:v>N/D</x:v>
      </x:c>
      <x:c r="AB101" s="9" t="n">
        <x:v>46270</x:v>
      </x:c>
      <x:c r="AC101" s="3" t="str">
        <x:v>Dettaglio annuncio</x:v>
      </x:c>
      <x:c r="AD101" s="3" t="str">
        <x:v>Prima pubblicazione non esposta. Prezzo richiesto; aggiornamento distinto dalla rilevazione.</x:v>
      </x:c>
      <x:c r="AE101" s="3" t="str">
        <x:v>G</x:v>
      </x:c>
      <x:c r="AF101" s="3" t="str">
        <x:v>Classe dichiarata</x:v>
      </x:c>
      <x:c r="AG101" s="9" t="n">
        <x:v>46270</x:v>
      </x:c>
    </x:row>
  </x:sheetData>
  <x:pageMargins left="0.7" right="0.7" top="0.75" bottom="0.75" header="0.3" footer="0.3"/>
  <x:tableParts count="1">
    <x:tablePart xmlns:r="http://schemas.openxmlformats.org/officeDocument/2006/relationships" r:id="R918f10b8385249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88" hidden="0" customWidth="1"/>
  </x:cols>
  <x:sheetData>
    <x:row r="1" ht="26" customHeight="1">
      <x:c r="A1" s="10" t="str">
        <x:v>Valmiro — 100 nuovi annunci Milano</x:v>
      </x:c>
      <x:c r="B1" s="2"/>
    </x:row>
    <x:row r="2" ht="26" customHeight="1">
      <x:c r="A2" s="2" t="str">
        <x:v>Rilevazione del 05/09/2026</x:v>
      </x:c>
      <x:c r="B2" s="2"/>
    </x:row>
    <x:row r="3" ht="26" customHeight="1">
      <x:c r="A3" s="2"/>
      <x:c r="B3" s="2"/>
    </x:row>
    <x:row r="4" ht="32" customHeight="1">
      <x:c r="A4" s="12" t="str">
        <x:v>Campione</x:v>
      </x:c>
      <x:c r="B4" s="12" t="str">
        <x:v>Annunci</x:v>
      </x:c>
    </x:row>
    <x:row r="5" ht="26" customHeight="1">
      <x:c r="A5" s="2" t="str">
        <x:v>Vendite</x:v>
      </x:c>
      <x:c r="B5" s="2" t="n">
        <x:f>COUNTIF('Dataset_100'!D2:D101,"Vendita")</x:f>
        <x:v>70</x:v>
      </x:c>
    </x:row>
    <x:row r="6" ht="26" customHeight="1">
      <x:c r="A6" s="2" t="str">
        <x:v>Affitti</x:v>
      </x:c>
      <x:c r="B6" s="2" t="n">
        <x:f>COUNTIF('Dataset_100'!D2:D101,"Affitto")</x:f>
        <x:v>30</x:v>
      </x:c>
    </x:row>
    <x:row r="7" ht="26" customHeight="1">
      <x:c r="A7" s="2" t="str">
        <x:v>Totale</x:v>
      </x:c>
      <x:c r="B7" s="2" t="n">
        <x:f>COUNTA('Dataset_100'!A2:A101)</x:f>
        <x:v>100</x:v>
      </x:c>
    </x:row>
    <x:row r="8" ht="26" customHeight="1">
      <x:c r="A8" s="2" t="str">
        <x:v>Immobiliare.it</x:v>
      </x:c>
      <x:c r="B8" s="2" t="n">
        <x:f>COUNTIF('Dataset_100'!C2:C101,"Immobiliare.it")</x:f>
        <x:v>82</x:v>
      </x:c>
    </x:row>
    <x:row r="9" ht="26" customHeight="1">
      <x:c r="A9" s="2" t="str">
        <x:v>Idealista</x:v>
      </x:c>
      <x:c r="B9" s="2" t="n">
        <x:f>COUNTIF('Dataset_100'!C2:C101,"Idealista")</x:f>
        <x:v>18</x:v>
      </x:c>
    </x:row>
    <x:row r="10" ht="26" customHeight="1">
      <x:c r="A10" s="2" t="str">
        <x:v>Classe energetica verificata</x:v>
      </x:c>
      <x:c r="B10" s="2" t="n">
        <x:v>83</x:v>
      </x:c>
    </x:row>
    <x:row r="11" ht="26" customHeight="1">
      <x:c r="A11" s="2" t="str">
        <x:v>Classe non leggibile nel testo</x:v>
      </x:c>
      <x:c r="B11" s="2" t="n">
        <x:v>10</x:v>
      </x:c>
    </x:row>
    <x:row r="12" ht="26" customHeight="1">
      <x:c r="A12" s="2" t="str">
        <x:v>Classe non dichiarata nel testo</x:v>
      </x:c>
      <x:c r="B12" s="2" t="n">
        <x:v>6</x:v>
      </x:c>
    </x:row>
    <x:row r="13" ht="26" customHeight="1">
      <x:c r="A13" s="2" t="str">
        <x:v>In attesa di certificazione</x:v>
      </x:c>
      <x:c r="B13" s="2" t="n">
        <x:v>1</x:v>
      </x:c>
    </x:row>
    <x:row r="14" ht="26" customHeight="1">
      <x:c r="A14" s="2" t="str">
        <x:v>Quartieri indicati dagli annunci</x:v>
      </x:c>
      <x:c r="B14" s="2" t="n">
        <x:v>28</x:v>
      </x:c>
    </x:row>
    <x:row r="15" ht="26" customHeight="1">
      <x:c r="A15" s="2"/>
      <x:c r="B15" s="2"/>
    </x:row>
    <x:row r="16" ht="26" customHeight="1">
      <x:c r="A16" s="2"/>
      <x:c r="B16" s="2"/>
    </x:row>
    <x:row r="17" ht="32" customHeight="1">
      <x:c r="A17" s="12" t="str">
        <x:v>Metodo</x:v>
      </x:c>
      <x:c r="B17" s="12" t="str">
        <x:v>Dettaglio</x:v>
      </x:c>
    </x:row>
    <x:row r="18" ht="65" customHeight="1">
      <x:c r="A18" s="2" t="str">
        <x:v>Selezione</x:v>
      </x:c>
      <x:c r="B18" s="2" t="str">
        <x:v>Campione di convenienza, dal centro alle zone esterne; non rappresentativo del mercato.</x:v>
      </x:c>
    </x:row>
    <x:row r="19" ht="65" customHeight="1">
      <x:c r="A19" s="2" t="str">
        <x:v>Esclusioni</x:v>
      </x:c>
      <x:c r="B19" s="2" t="str">
        <x:v>Aste, nude proprietà, casi chiaramente inagibili e immobili dichiarati non residenziali.</x:v>
      </x:c>
    </x:row>
    <x:row r="20" ht="65" customHeight="1">
      <x:c r="A20" s="2" t="str">
        <x:v>Duplicati</x:v>
      </x:c>
      <x:c r="B20" s="2" t="str">
        <x:v>Esclusi URL e indirizzi già presenti nel file precedente, oltre ai possibili duplicati per prezzo e superficie. Una sola casa per indirizzo nel nuovo campione.</x:v>
      </x:c>
    </x:row>
    <x:row r="21" ht="65" customHeight="1">
      <x:c r="A21" s="2" t="str">
        <x:v>Prezzi</x:v>
      </x:c>
      <x:c r="B21" s="2" t="str">
        <x:v>Richieste degli annunci; i canoni sono mensili. Non sono prezzi di rogito.</x:v>
      </x:c>
    </x:row>
    <x:row r="22" ht="65" customHeight="1">
      <x:c r="A22" s="2" t="str">
        <x:v>Classi energetiche</x:v>
      </x:c>
      <x:c r="B22" s="2" t="str">
        <x:v>Riportate dalle schede o da un annuncio corrispondente. N/D quando non verificabili; nessuna classe dedotta dal consumo.</x:v>
      </x:c>
    </x:row>
    <x:row r="23" ht="65" customHeight="1">
      <x:c r="A23" s="2" t="str">
        <x:v>Date</x:v>
      </x:c>
      <x:c r="B23" s="2" t="str">
        <x:v>La data di prima pubblicazione resta N/D se assente; gli aggiornamenti privi di anno sono mantenuti come testo.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40" hidden="0" customWidth="1"/>
    <x:col min="6" max="6" width="70" hidden="0" customWidth="1"/>
    <x:col min="7" max="7" width="20" hidden="0" customWidth="1"/>
    <x:col min="8" max="8" width="65" hidden="0" customWidth="1"/>
    <x:col min="9" max="9" width="24" hidden="0" customWidth="1"/>
    <x:col min="10" max="10" width="70" hidden="0" customWidth="1"/>
    <x:col min="11" max="11" width="27" hidden="0" customWidth="1"/>
    <x:col min="12" max="12" width="68" hidden="0" customWidth="1"/>
    <x:col min="13" max="13" width="34" hidden="0" customWidth="1"/>
  </x:cols>
  <x:sheetData>
    <x:row r="1" ht="60" customHeight="1">
      <x:c r="A1" s="5" t="str">
        <x:v>ID_globale</x:v>
      </x:c>
      <x:c r="B1" s="5" t="str">
        <x:v>ID_portale</x:v>
      </x:c>
      <x:c r="C1" s="5" t="str">
        <x:v>Portale</x:v>
      </x:c>
      <x:c r="D1" s="5" t="str">
        <x:v>Quartiere</x:v>
      </x:c>
      <x:c r="E1" s="5" t="str">
        <x:v>Indirizzo</x:v>
      </x:c>
      <x:c r="F1" s="5" t="str">
        <x:v>URL_fonte</x:v>
      </x:c>
      <x:c r="G1" s="5" t="str">
        <x:v>Tipo_fonte</x:v>
      </x:c>
      <x:c r="H1" s="5" t="str">
        <x:v>Nota</x:v>
      </x:c>
      <x:c r="I1" s="5" t="str">
        <x:v>Classe_energetica</x:v>
      </x:c>
      <x:c r="J1" s="5" t="str">
        <x:v>URL_verifica_energia</x:v>
      </x:c>
      <x:c r="K1" s="5" t="str">
        <x:v>Data_verifica_energia</x:v>
      </x:c>
      <x:c r="L1" s="5" t="str">
        <x:v>Metodo_verifica</x:v>
      </x:c>
      <x:c r="M1" s="5" t="str">
        <x:v>Consumo_dichiarato_kWh_mq_anno</x:v>
      </x:c>
    </x:row>
    <x:row r="2" ht="60" customHeight="1">
      <x:c r="A2" s="3" t="n">
        <x:v>201</x:v>
      </x:c>
      <x:c r="B2" s="3" t="n">
        <x:v>128141494</x:v>
      </x:c>
      <x:c r="C2" s="3" t="str">
        <x:v>Immobiliare.it</x:v>
      </x:c>
      <x:c r="D2" s="3" t="str">
        <x:v>Brera</x:v>
      </x:c>
      <x:c r="E2" s="3" t="str">
        <x:v>via Fiori Oscuri 13</x:v>
      </x:c>
      <x:c r="F2" s="3" t="str">
        <x:v>https://www.immobiliare.it/annunci/128141494/</x:v>
      </x:c>
      <x:c r="G2" s="3" t="str">
        <x:v>Scheda annuncio</x:v>
      </x:c>
      <x:c r="H2" s="3" t="str">
        <x:v>Controllo duplicati per URL, indirizzo, prezzo e superficie rispetto al campione precedente.</x:v>
      </x:c>
      <x:c r="I2" s="3" t="str">
        <x:v>F</x:v>
      </x:c>
      <x:c r="J2" s="3" t="str">
        <x:v>https://www.immobiliare.it/annunci/128141494/</x:v>
      </x:c>
      <x:c r="K2" s="9" t="n">
        <x:v>46270</x:v>
      </x:c>
      <x:c r="L2" s="3" t="str">
        <x:v>Scheda annuncio</x:v>
      </x:c>
      <x:c r="M2" s="3" t="str">
        <x:v>200</x:v>
      </x:c>
    </x:row>
    <x:row r="3" ht="60" customHeight="1">
      <x:c r="A3" s="3" t="n">
        <x:v>202</x:v>
      </x:c>
      <x:c r="B3" s="3" t="n">
        <x:v>118144815</x:v>
      </x:c>
      <x:c r="C3" s="3" t="str">
        <x:v>Immobiliare.it</x:v>
      </x:c>
      <x:c r="D3" s="3" t="str">
        <x:v>Brera</x:v>
      </x:c>
      <x:c r="E3" s="3" t="str">
        <x:v>via San Carpoforo 9</x:v>
      </x:c>
      <x:c r="F3" s="3" t="str">
        <x:v>https://www.immobiliare.it/annunci/118144815/</x:v>
      </x:c>
      <x:c r="G3" s="3" t="str">
        <x:v>Scheda annuncio</x:v>
      </x:c>
      <x:c r="H3" s="3" t="str">
        <x:v>Controllo duplicati per URL, indirizzo, prezzo e superficie rispetto al campione precedente.</x:v>
      </x:c>
      <x:c r="I3" s="3" t="str">
        <x:v>E</x:v>
      </x:c>
      <x:c r="J3" s="3" t="str">
        <x:v>https://www.immobiliare.it/annunci/118144815/</x:v>
      </x:c>
      <x:c r="K3" s="9" t="n">
        <x:v>46270</x:v>
      </x:c>
      <x:c r="L3" s="3" t="str">
        <x:v>Scheda annuncio</x:v>
      </x:c>
      <x:c r="M3" s="3" t="str">
        <x:v>≥ 175</x:v>
      </x:c>
    </x:row>
    <x:row r="4" ht="60" customHeight="1">
      <x:c r="A4" s="3" t="n">
        <x:v>203</x:v>
      </x:c>
      <x:c r="B4" s="3" t="n">
        <x:v>126590103</x:v>
      </x:c>
      <x:c r="C4" s="3" t="str">
        <x:v>Immobiliare.it</x:v>
      </x:c>
      <x:c r="D4" s="3" t="str">
        <x:v>Scala - Manzoni</x:v>
      </x:c>
      <x:c r="E4" s="3" t="str">
        <x:v>via Montenapoleone</x:v>
      </x:c>
      <x:c r="F4" s="3" t="str">
        <x:v>https://www.immobiliare.it/annunci/126590103/</x:v>
      </x:c>
      <x:c r="G4" s="3" t="str">
        <x:v>Scheda annuncio</x:v>
      </x:c>
      <x:c r="H4" s="3" t="str">
        <x:v>Controllo duplicati per URL, indirizzo, prezzo e superficie rispetto al campione precedente.</x:v>
      </x:c>
      <x:c r="I4" s="3" t="str">
        <x:v>A</x:v>
      </x:c>
      <x:c r="J4" s="3" t="str">
        <x:v>https://www.immobiliare.it/annunci/126590103/</x:v>
      </x:c>
      <x:c r="K4" s="9" t="n">
        <x:v>46270</x:v>
      </x:c>
      <x:c r="L4" s="3" t="str">
        <x:v>Scheda annuncio</x:v>
      </x:c>
      <x:c r="M4" s="3" t="str">
        <x:v>≥ 175</x:v>
      </x:c>
    </x:row>
    <x:row r="5" ht="60" customHeight="1">
      <x:c r="A5" s="3" t="n">
        <x:v>204</x:v>
      </x:c>
      <x:c r="B5" s="3" t="n">
        <x:v>35755623</x:v>
      </x:c>
      <x:c r="C5" s="3" t="str">
        <x:v>Idealista</x:v>
      </x:c>
      <x:c r="D5" s="3" t="str">
        <x:v>Isola</x:v>
      </x:c>
      <x:c r="E5" s="3" t="str">
        <x:v>Piazza Fidia s.n.c</x:v>
      </x:c>
      <x:c r="F5" s="3" t="str">
        <x:v>https://www.idealista.it/immobile/35755623/</x:v>
      </x:c>
      <x:c r="G5" s="3" t="str">
        <x:v>Scheda annuncio</x:v>
      </x:c>
      <x:c r="H5" s="3" t="str">
        <x:v>Controllo duplicati per URL, indirizzo, prezzo e superficie rispetto al campione precedente.</x:v>
      </x:c>
      <x:c r="I5" s="3" t="str">
        <x:v>N/D</x:v>
      </x:c>
      <x:c r="J5" s="3" t="str">
        <x:v>https://www.idealista.it/immobile/35755623/</x:v>
      </x:c>
      <x:c r="K5" s="9" t="n">
        <x:v>46270</x:v>
      </x:c>
      <x:c r="L5" s="3" t="str">
        <x:v>Scheda annuncio</x:v>
      </x:c>
      <x:c r="M5" s="3" t="str">
        <x:v>10,82</x:v>
      </x:c>
    </x:row>
    <x:row r="6" ht="60" customHeight="1">
      <x:c r="A6" s="3" t="n">
        <x:v>205</x:v>
      </x:c>
      <x:c r="B6" s="3" t="n">
        <x:v>31845738</x:v>
      </x:c>
      <x:c r="C6" s="3" t="str">
        <x:v>Idealista</x:v>
      </x:c>
      <x:c r="D6" s="3" t="str">
        <x:v>Isola</x:v>
      </x:c>
      <x:c r="E6" s="3" t="str">
        <x:v>Via Giulio Belinzaghi, 14</x:v>
      </x:c>
      <x:c r="F6" s="3" t="str">
        <x:v>https://www.idealista.it/immobile/31845738/</x:v>
      </x:c>
      <x:c r="G6" s="3" t="str">
        <x:v>Scheda annuncio</x:v>
      </x:c>
      <x:c r="H6" s="3" t="str">
        <x:v>Controllo duplicati per URL, indirizzo, prezzo e superficie rispetto al campione precedente.</x:v>
      </x:c>
      <x:c r="I6" s="3" t="str">
        <x:v>A</x:v>
      </x:c>
      <x:c r="J6" s="3" t="str">
        <x:v>https://www.idealista.it/immobile/31845738/</x:v>
      </x:c>
      <x:c r="K6" s="9" t="n">
        <x:v>46270</x:v>
      </x:c>
      <x:c r="L6" s="3" t="str">
        <x:v>Scheda annuncio</x:v>
      </x:c>
      <x:c r="M6" s="3" t="str">
        <x:v>N/D</x:v>
      </x:c>
    </x:row>
    <x:row r="7" ht="60" customHeight="1">
      <x:c r="A7" s="3" t="n">
        <x:v>206</x:v>
      </x:c>
      <x:c r="B7" s="3" t="n">
        <x:v>35732635</x:v>
      </x:c>
      <x:c r="C7" s="3" t="str">
        <x:v>Idealista</x:v>
      </x:c>
      <x:c r="D7" s="3" t="str">
        <x:v>Isola</x:v>
      </x:c>
      <x:c r="E7" s="3" t="str">
        <x:v>Via Luigi Federico Menabrea, 7</x:v>
      </x:c>
      <x:c r="F7" s="3" t="str">
        <x:v>https://www.idealista.it/immobile/35732635/</x:v>
      </x:c>
      <x:c r="G7" s="3" t="str">
        <x:v>Scheda annuncio</x:v>
      </x:c>
      <x:c r="H7" s="3" t="str">
        <x:v>Controllo duplicati per URL, indirizzo, prezzo e superficie rispetto al campione precedente.</x:v>
      </x:c>
      <x:c r="I7" s="3" t="str">
        <x:v>A2</x:v>
      </x:c>
      <x:c r="J7" s="3" t="str">
        <x:v>https://www.idealista.it/immobile/35732635/</x:v>
      </x:c>
      <x:c r="K7" s="9" t="n">
        <x:v>46270</x:v>
      </x:c>
      <x:c r="L7" s="3" t="str">
        <x:v>Scheda annuncio</x:v>
      </x:c>
      <x:c r="M7" s="3" t="str">
        <x:v>70,42</x:v>
      </x:c>
    </x:row>
    <x:row r="8" ht="60" customHeight="1">
      <x:c r="A8" s="3" t="n">
        <x:v>207</x:v>
      </x:c>
      <x:c r="B8" s="3" t="n">
        <x:v>36349620</x:v>
      </x:c>
      <x:c r="C8" s="3" t="str">
        <x:v>Idealista</x:v>
      </x:c>
      <x:c r="D8" s="3" t="str">
        <x:v>Isola</x:v>
      </x:c>
      <x:c r="E8" s="3" t="str">
        <x:v>Via Sebenico, 28</x:v>
      </x:c>
      <x:c r="F8" s="3" t="str">
        <x:v>https://www.idealista.it/immobile/36349620/</x:v>
      </x:c>
      <x:c r="G8" s="3" t="str">
        <x:v>Scheda annuncio</x:v>
      </x:c>
      <x:c r="H8" s="3" t="str">
        <x:v>Controllo duplicati per URL, indirizzo, prezzo e superficie rispetto al campione precedente.</x:v>
      </x:c>
      <x:c r="I8" s="3" t="str">
        <x:v>N/D</x:v>
      </x:c>
      <x:c r="J8" s="3" t="str">
        <x:v>https://www.idealista.it/immobile/36349620/</x:v>
      </x:c>
      <x:c r="K8" s="9" t="n">
        <x:v>46270</x:v>
      </x:c>
      <x:c r="L8" s="3" t="str">
        <x:v>Scheda annuncio</x:v>
      </x:c>
      <x:c r="M8" s="3" t="str">
        <x:v>N/D</x:v>
      </x:c>
    </x:row>
    <x:row r="9" ht="60" customHeight="1">
      <x:c r="A9" s="3" t="n">
        <x:v>208</x:v>
      </x:c>
      <x:c r="B9" s="3" t="n">
        <x:v>35884100</x:v>
      </x:c>
      <x:c r="C9" s="3" t="str">
        <x:v>Idealista</x:v>
      </x:c>
      <x:c r="D9" s="3" t="str">
        <x:v>Isola</x:v>
      </x:c>
      <x:c r="E9" s="3" t="str">
        <x:v>Viale Stelvio, 16</x:v>
      </x:c>
      <x:c r="F9" s="3" t="str">
        <x:v>https://www.idealista.it/immobile/35884100/</x:v>
      </x:c>
      <x:c r="G9" s="3" t="str">
        <x:v>Scheda annuncio</x:v>
      </x:c>
      <x:c r="H9" s="3" t="str">
        <x:v>Controllo duplicati per URL, indirizzo, prezzo e superficie rispetto al campione precedente.</x:v>
      </x:c>
      <x:c r="I9" s="3" t="str">
        <x:v>N/D</x:v>
      </x:c>
      <x:c r="J9" s="3" t="str">
        <x:v>https://www.idealista.it/immobile/35884100/</x:v>
      </x:c>
      <x:c r="K9" s="9" t="n">
        <x:v>46270</x:v>
      </x:c>
      <x:c r="L9" s="3" t="str">
        <x:v>Scheda annuncio</x:v>
      </x:c>
      <x:c r="M9" s="3" t="str">
        <x:v>N/D</x:v>
      </x:c>
    </x:row>
    <x:row r="10" ht="60" customHeight="1">
      <x:c r="A10" s="3" t="n">
        <x:v>209</x:v>
      </x:c>
      <x:c r="B10" s="3" t="n">
        <x:v>130911160</x:v>
      </x:c>
      <x:c r="C10" s="3" t="str">
        <x:v>Immobiliare.it</x:v>
      </x:c>
      <x:c r="D10" s="3" t="str">
        <x:v>Isola</x:v>
      </x:c>
      <x:c r="E10" s="3" t="str">
        <x:v>piazzale Lagosta 6</x:v>
      </x:c>
      <x:c r="F10" s="3" t="str">
        <x:v>https://www.immobiliare.it/annunci/130911160/</x:v>
      </x:c>
      <x:c r="G10" s="3" t="str">
        <x:v>Scheda annuncio</x:v>
      </x:c>
      <x:c r="H10" s="3" t="str">
        <x:v>Controllo duplicati per URL, indirizzo, prezzo e superficie rispetto al campione precedente.</x:v>
      </x:c>
      <x:c r="I10" s="3" t="str">
        <x:v>C</x:v>
      </x:c>
      <x:c r="J10" s="3" t="str">
        <x:v>https://www.immobiliare.it/annunci/130911160/</x:v>
      </x:c>
      <x:c r="K10" s="9" t="n">
        <x:v>46270</x:v>
      </x:c>
      <x:c r="L10" s="3" t="str">
        <x:v>Scheda annuncio</x:v>
      </x:c>
      <x:c r="M10" s="3" t="str">
        <x:v>≥ 175</x:v>
      </x:c>
    </x:row>
    <x:row r="11" ht="60" customHeight="1">
      <x:c r="A11" s="3" t="n">
        <x:v>210</x:v>
      </x:c>
      <x:c r="B11" s="3" t="n">
        <x:v>128135276</x:v>
      </x:c>
      <x:c r="C11" s="3" t="str">
        <x:v>Immobiliare.it</x:v>
      </x:c>
      <x:c r="D11" s="3" t="str">
        <x:v>Isola</x:v>
      </x:c>
      <x:c r="E11" s="3" t="str">
        <x:v>via Pastrengo 9</x:v>
      </x:c>
      <x:c r="F11" s="3" t="str">
        <x:v>https://www.immobiliare.it/annunci/128135276/</x:v>
      </x:c>
      <x:c r="G11" s="3" t="str">
        <x:v>Scheda annuncio</x:v>
      </x:c>
      <x:c r="H11" s="3" t="str">
        <x:v>Controllo duplicati per URL, indirizzo, prezzo e superficie rispetto al campione precedente.</x:v>
      </x:c>
      <x:c r="I11" s="3" t="str">
        <x:v>G</x:v>
      </x:c>
      <x:c r="J11" s="3" t="str">
        <x:v>https://www.immobiliare.it/annunci/128135276/</x:v>
      </x:c>
      <x:c r="K11" s="9" t="n">
        <x:v>46270</x:v>
      </x:c>
      <x:c r="L11" s="3" t="str">
        <x:v>Scheda annuncio</x:v>
      </x:c>
      <x:c r="M11" s="3" t="str">
        <x:v>≥ 175</x:v>
      </x:c>
    </x:row>
    <x:row r="12" ht="60" customHeight="1">
      <x:c r="A12" s="3" t="n">
        <x:v>211</x:v>
      </x:c>
      <x:c r="B12" s="3" t="n">
        <x:v>132081260</x:v>
      </x:c>
      <x:c r="C12" s="3" t="str">
        <x:v>Immobiliare.it</x:v>
      </x:c>
      <x:c r="D12" s="3" t="str">
        <x:v>Isola</x:v>
      </x:c>
      <x:c r="E12" s="3" t="str">
        <x:v>via Pola 19</x:v>
      </x:c>
      <x:c r="F12" s="3" t="str">
        <x:v>https://www.immobiliare.it/annunci/132081260/</x:v>
      </x:c>
      <x:c r="G12" s="3" t="str">
        <x:v>Scheda annuncio</x:v>
      </x:c>
      <x:c r="H12" s="3" t="str">
        <x:v>Controllo duplicati per URL, indirizzo, prezzo e superficie rispetto al campione precedente.</x:v>
      </x:c>
      <x:c r="I12" s="3" t="str">
        <x:v>G</x:v>
      </x:c>
      <x:c r="J12" s="3" t="str">
        <x:v>https://www.immobiliare.it/annunci/132081260/</x:v>
      </x:c>
      <x:c r="K12" s="9" t="n">
        <x:v>46270</x:v>
      </x:c>
      <x:c r="L12" s="3" t="str">
        <x:v>Scheda annuncio</x:v>
      </x:c>
      <x:c r="M12" s="3" t="str">
        <x:v>≥ 175</x:v>
      </x:c>
    </x:row>
    <x:row r="13" ht="60" customHeight="1">
      <x:c r="A13" s="3" t="n">
        <x:v>212</x:v>
      </x:c>
      <x:c r="B13" s="3" t="n">
        <x:v>120847644</x:v>
      </x:c>
      <x:c r="C13" s="3" t="str">
        <x:v>Immobiliare.it</x:v>
      </x:c>
      <x:c r="D13" s="3" t="str">
        <x:v>Porta Romana - Medaglie d'Oro</x:v>
      </x:c>
      <x:c r="E13" s="3" t="str">
        <x:v>corso Lodi 13</x:v>
      </x:c>
      <x:c r="F13" s="3" t="str">
        <x:v>https://www.immobiliare.it/annunci/120847644/</x:v>
      </x:c>
      <x:c r="G13" s="3" t="str">
        <x:v>Scheda annuncio</x:v>
      </x:c>
      <x:c r="H13" s="3" t="str">
        <x:v>Controllo duplicati per URL, indirizzo, prezzo e superficie rispetto al campione precedente.</x:v>
      </x:c>
      <x:c r="I13" s="3" t="str">
        <x:v>A</x:v>
      </x:c>
      <x:c r="J13" s="3" t="str">
        <x:v>https://www.immobiliare.it/annunci/120847644/</x:v>
      </x:c>
      <x:c r="K13" s="9" t="n">
        <x:v>46270</x:v>
      </x:c>
      <x:c r="L13" s="3" t="str">
        <x:v>Scheda annuncio</x:v>
      </x:c>
      <x:c r="M13" s="3" t="str">
        <x:v>≥ 175</x:v>
      </x:c>
    </x:row>
    <x:row r="14" ht="60" customHeight="1">
      <x:c r="A14" s="3" t="n">
        <x:v>213</x:v>
      </x:c>
      <x:c r="B14" s="3" t="n">
        <x:v>130163194</x:v>
      </x:c>
      <x:c r="C14" s="3" t="str">
        <x:v>Immobiliare.it</x:v>
      </x:c>
      <x:c r="D14" s="3" t="str">
        <x:v>Porta Romana - Medaglie d'Oro</x:v>
      </x:c>
      <x:c r="E14" s="3" t="str">
        <x:v>corso Lodi 7</x:v>
      </x:c>
      <x:c r="F14" s="3" t="str">
        <x:v>https://www.immobiliare.it/annunci/130163194/</x:v>
      </x:c>
      <x:c r="G14" s="3" t="str">
        <x:v>Scheda annuncio</x:v>
      </x:c>
      <x:c r="H14" s="3" t="str">
        <x:v>Controllo duplicati per URL, indirizzo, prezzo e superficie rispetto al campione precedente.</x:v>
      </x:c>
      <x:c r="I14" s="3" t="str">
        <x:v>F</x:v>
      </x:c>
      <x:c r="J14" s="3" t="str">
        <x:v>https://www.immobiliare.it/annunci/130163194/</x:v>
      </x:c>
      <x:c r="K14" s="9" t="n">
        <x:v>46270</x:v>
      </x:c>
      <x:c r="L14" s="3" t="str">
        <x:v>Scheda annuncio</x:v>
      </x:c>
      <x:c r="M14" s="3" t="str">
        <x:v>113.98</x:v>
      </x:c>
    </x:row>
    <x:row r="15" ht="60" customHeight="1">
      <x:c r="A15" s="3" t="n">
        <x:v>214</x:v>
      </x:c>
      <x:c r="B15" s="3" t="n">
        <x:v>129575622</x:v>
      </x:c>
      <x:c r="C15" s="3" t="str">
        <x:v>Immobiliare.it</x:v>
      </x:c>
      <x:c r="D15" s="3" t="str">
        <x:v>Porta Romana - Medaglie d'Oro</x:v>
      </x:c>
      <x:c r="E15" s="3" t="str">
        <x:v>via Atto Vannucci 11</x:v>
      </x:c>
      <x:c r="F15" s="3" t="str">
        <x:v>https://www.immobiliare.it/annunci/129575622/</x:v>
      </x:c>
      <x:c r="G15" s="3" t="str">
        <x:v>Scheda annuncio</x:v>
      </x:c>
      <x:c r="H15" s="3" t="str">
        <x:v>Controllo duplicati per URL, indirizzo, prezzo e superficie rispetto al campione precedente.</x:v>
      </x:c>
      <x:c r="I15" s="3" t="str">
        <x:v>D</x:v>
      </x:c>
      <x:c r="J15" s="3" t="str">
        <x:v>https://www.immobiliare.it/annunci/129575622/</x:v>
      </x:c>
      <x:c r="K15" s="9" t="n">
        <x:v>46270</x:v>
      </x:c>
      <x:c r="L15" s="3" t="str">
        <x:v>Scheda annuncio</x:v>
      </x:c>
      <x:c r="M15" s="3" t="str">
        <x:v>≥ 3,51</x:v>
      </x:c>
    </x:row>
    <x:row r="16" ht="60" customHeight="1">
      <x:c r="A16" s="3" t="n">
        <x:v>215</x:v>
      </x:c>
      <x:c r="B16" s="3" t="n">
        <x:v>130768170</x:v>
      </x:c>
      <x:c r="C16" s="3" t="str">
        <x:v>Immobiliare.it</x:v>
      </x:c>
      <x:c r="D16" s="3" t="str">
        <x:v>Porta Romana - Medaglie d'Oro</x:v>
      </x:c>
      <x:c r="E16" s="3" t="str">
        <x:v>via Crema</x:v>
      </x:c>
      <x:c r="F16" s="3" t="str">
        <x:v>https://www.immobiliare.it/annunci/130768170/</x:v>
      </x:c>
      <x:c r="G16" s="3" t="str">
        <x:v>Scheda annuncio</x:v>
      </x:c>
      <x:c r="H16" s="3" t="str">
        <x:v>Controllo duplicati per URL, indirizzo, prezzo e superficie rispetto al campione precedente.</x:v>
      </x:c>
      <x:c r="I16" s="3" t="str">
        <x:v>C</x:v>
      </x:c>
      <x:c r="J16" s="3" t="str">
        <x:v>https://www.immobiliare.it/annunci/130768170/</x:v>
      </x:c>
      <x:c r="K16" s="9" t="n">
        <x:v>46270</x:v>
      </x:c>
      <x:c r="L16" s="3" t="str">
        <x:v>Scheda annuncio</x:v>
      </x:c>
      <x:c r="M16" s="3" t="str">
        <x:v>≥ 175</x:v>
      </x:c>
    </x:row>
    <x:row r="17" ht="60" customHeight="1">
      <x:c r="A17" s="3" t="n">
        <x:v>216</x:v>
      </x:c>
      <x:c r="B17" s="3" t="n">
        <x:v>130083578</x:v>
      </x:c>
      <x:c r="C17" s="3" t="str">
        <x:v>Immobiliare.it</x:v>
      </x:c>
      <x:c r="D17" s="3" t="str">
        <x:v>Porta Romana - Medaglie d'Oro</x:v>
      </x:c>
      <x:c r="E17" s="3" t="str">
        <x:v>via G. Romano 17</x:v>
      </x:c>
      <x:c r="F17" s="3" t="str">
        <x:v>https://www.immobiliare.it/annunci/130083578/</x:v>
      </x:c>
      <x:c r="G17" s="3" t="str">
        <x:v>Scheda annuncio</x:v>
      </x:c>
      <x:c r="H17" s="3" t="str">
        <x:v>Controllo duplicati per URL, indirizzo, prezzo e superficie rispetto al campione precedente.</x:v>
      </x:c>
      <x:c r="I17" s="3" t="str">
        <x:v>F</x:v>
      </x:c>
      <x:c r="J17" s="3" t="str">
        <x:v>https://www.immobiliare.it/annunci/130083578/</x:v>
      </x:c>
      <x:c r="K17" s="9" t="n">
        <x:v>46270</x:v>
      </x:c>
      <x:c r="L17" s="3" t="str">
        <x:v>Scheda annuncio</x:v>
      </x:c>
      <x:c r="M17" s="3" t="str">
        <x:v>265.46</x:v>
      </x:c>
    </x:row>
    <x:row r="18" ht="60" customHeight="1">
      <x:c r="A18" s="3" t="n">
        <x:v>217</x:v>
      </x:c>
      <x:c r="B18" s="3" t="n">
        <x:v>125963643</x:v>
      </x:c>
      <x:c r="C18" s="3" t="str">
        <x:v>Immobiliare.it</x:v>
      </x:c>
      <x:c r="D18" s="3" t="str">
        <x:v>Porta Romana - Medaglie d'Oro</x:v>
      </x:c>
      <x:c r="E18" s="3" t="str">
        <x:v>viale Umbria 21</x:v>
      </x:c>
      <x:c r="F18" s="3" t="str">
        <x:v>https://www.immobiliare.it/annunci/125963643/</x:v>
      </x:c>
      <x:c r="G18" s="3" t="str">
        <x:v>Scheda annuncio</x:v>
      </x:c>
      <x:c r="H18" s="3" t="str">
        <x:v>Controllo duplicati per URL, indirizzo, prezzo e superficie rispetto al campione precedente.</x:v>
      </x:c>
      <x:c r="I18" s="3" t="str">
        <x:v>C</x:v>
      </x:c>
      <x:c r="J18" s="3" t="str">
        <x:v>https://www.immobiliare.it/annunci/125963643/</x:v>
      </x:c>
      <x:c r="K18" s="9" t="n">
        <x:v>46270</x:v>
      </x:c>
      <x:c r="L18" s="3" t="str">
        <x:v>Scheda annuncio</x:v>
      </x:c>
      <x:c r="M18" s="3" t="str">
        <x:v>≥ 175</x:v>
      </x:c>
    </x:row>
    <x:row r="19" ht="60" customHeight="1">
      <x:c r="A19" s="3" t="n">
        <x:v>218</x:v>
      </x:c>
      <x:c r="B19" s="3" t="n">
        <x:v>36025686</x:v>
      </x:c>
      <x:c r="C19" s="3" t="str">
        <x:v>Idealista</x:v>
      </x:c>
      <x:c r="D19" s="3" t="str">
        <x:v>Porta Venezia - Repubblica</x:v>
      </x:c>
      <x:c r="E19" s="3" t="str">
        <x:v>Corso Buenos Aires, 5</x:v>
      </x:c>
      <x:c r="F19" s="3" t="str">
        <x:v>https://www.idealista.it/immobile/36025686/</x:v>
      </x:c>
      <x:c r="G19" s="3" t="str">
        <x:v>Scheda annuncio</x:v>
      </x:c>
      <x:c r="H19" s="3" t="str">
        <x:v>Controllo duplicati per URL, indirizzo, prezzo e superficie rispetto al campione precedente.</x:v>
      </x:c>
      <x:c r="I19" s="3" t="str">
        <x:v>N/D</x:v>
      </x:c>
      <x:c r="J19" s="3" t="str">
        <x:v>https://www.idealista.it/immobile/36025686/</x:v>
      </x:c>
      <x:c r="K19" s="9" t="n">
        <x:v>46270</x:v>
      </x:c>
      <x:c r="L19" s="3" t="str">
        <x:v>Scheda annuncio</x:v>
      </x:c>
      <x:c r="M19" s="3" t="str">
        <x:v>N/D</x:v>
      </x:c>
    </x:row>
    <x:row r="20" ht="60" customHeight="1">
      <x:c r="A20" s="3" t="n">
        <x:v>219</x:v>
      </x:c>
      <x:c r="B20" s="3" t="n">
        <x:v>35312798</x:v>
      </x:c>
      <x:c r="C20" s="3" t="str">
        <x:v>Idealista</x:v>
      </x:c>
      <x:c r="D20" s="3" t="str">
        <x:v>Porta Venezia - Repubblica</x:v>
      </x:c>
      <x:c r="E20" s="3" t="str">
        <x:v>Via Giuseppe Sirtori, 5</x:v>
      </x:c>
      <x:c r="F20" s="3" t="str">
        <x:v>https://www.idealista.it/immobile/35312798/</x:v>
      </x:c>
      <x:c r="G20" s="3" t="str">
        <x:v>Scheda annuncio</x:v>
      </x:c>
      <x:c r="H20" s="3" t="str">
        <x:v>Controllo duplicati per URL, indirizzo, prezzo e superficie rispetto al campione precedente.</x:v>
      </x:c>
      <x:c r="I20" s="3" t="str">
        <x:v>B</x:v>
      </x:c>
      <x:c r="J20" s="3" t="str">
        <x:v>https://www.immobiliare.it/annunci/127973156/</x:v>
      </x:c>
      <x:c r="K20" s="9" t="n">
        <x:v>46270</x:v>
      </x:c>
      <x:c r="L20" s="3" t="str">
        <x:v>Annuncio corrispondente: indirizzo, prezzo e superficie concordanti</x:v>
      </x:c>
      <x:c r="M20" s="3" t="str">
        <x:v>92.41</x:v>
      </x:c>
    </x:row>
    <x:row r="21" ht="60" customHeight="1">
      <x:c r="A21" s="3" t="n">
        <x:v>220</x:v>
      </x:c>
      <x:c r="B21" s="3" t="n">
        <x:v>34227786</x:v>
      </x:c>
      <x:c r="C21" s="3" t="str">
        <x:v>Idealista</x:v>
      </x:c>
      <x:c r="D21" s="3" t="str">
        <x:v>Porta Venezia - Repubblica</x:v>
      </x:c>
      <x:c r="E21" s="3" t="str">
        <x:v>Via Lecco, 5</x:v>
      </x:c>
      <x:c r="F21" s="3" t="str">
        <x:v>https://www.idealista.it/immobile/34227786/</x:v>
      </x:c>
      <x:c r="G21" s="3" t="str">
        <x:v>Scheda annuncio</x:v>
      </x:c>
      <x:c r="H21" s="3" t="str">
        <x:v>Controllo duplicati per URL, indirizzo, prezzo e superficie rispetto al campione precedente.</x:v>
      </x:c>
      <x:c r="I21" s="3" t="str">
        <x:v>N/D</x:v>
      </x:c>
      <x:c r="J21" s="3" t="str">
        <x:v>https://www.idealista.it/immobile/34227786/</x:v>
      </x:c>
      <x:c r="K21" s="9" t="n">
        <x:v>46270</x:v>
      </x:c>
      <x:c r="L21" s="3" t="str">
        <x:v>Scheda annuncio</x:v>
      </x:c>
      <x:c r="M21" s="3" t="str">
        <x:v>189,23</x:v>
      </x:c>
    </x:row>
    <x:row r="22" ht="60" customHeight="1">
      <x:c r="A22" s="3" t="n">
        <x:v>221</x:v>
      </x:c>
      <x:c r="B22" s="3" t="n">
        <x:v>35828880</x:v>
      </x:c>
      <x:c r="C22" s="3" t="str">
        <x:v>Idealista</x:v>
      </x:c>
      <x:c r="D22" s="3" t="str">
        <x:v>Porta Venezia - Repubblica</x:v>
      </x:c>
      <x:c r="E22" s="3" t="str">
        <x:v>Via Panfilo Castaldi s.n.c</x:v>
      </x:c>
      <x:c r="F22" s="3" t="str">
        <x:v>https://www.idealista.it/immobile/35828880/</x:v>
      </x:c>
      <x:c r="G22" s="3" t="str">
        <x:v>Scheda annuncio</x:v>
      </x:c>
      <x:c r="H22" s="3" t="str">
        <x:v>Controllo duplicati per URL, indirizzo, prezzo e superficie rispetto al campione precedente.</x:v>
      </x:c>
      <x:c r="I22" s="3" t="str">
        <x:v>N/D</x:v>
      </x:c>
      <x:c r="J22" s="3" t="str">
        <x:v>https://www.idealista.it/immobile/35828880/</x:v>
      </x:c>
      <x:c r="K22" s="9" t="n">
        <x:v>46270</x:v>
      </x:c>
      <x:c r="L22" s="3" t="str">
        <x:v>Scheda annuncio</x:v>
      </x:c>
      <x:c r="M22" s="3" t="str">
        <x:v>N/D</x:v>
      </x:c>
    </x:row>
    <x:row r="23" ht="60" customHeight="1">
      <x:c r="A23" s="3" t="n">
        <x:v>222</x:v>
      </x:c>
      <x:c r="B23" s="3" t="n">
        <x:v>36636990</x:v>
      </x:c>
      <x:c r="C23" s="3" t="str">
        <x:v>Idealista</x:v>
      </x:c>
      <x:c r="D23" s="3" t="str">
        <x:v>Porta Venezia - Repubblica</x:v>
      </x:c>
      <x:c r="E23" s="3" t="str">
        <x:v>Viale Tunisia, 13</x:v>
      </x:c>
      <x:c r="F23" s="3" t="str">
        <x:v>https://www.idealista.it/immobile/36636990/</x:v>
      </x:c>
      <x:c r="G23" s="3" t="str">
        <x:v>Scheda annuncio</x:v>
      </x:c>
      <x:c r="H23" s="3" t="str">
        <x:v>Controllo duplicati per URL, indirizzo, prezzo e superficie rispetto al campione precedente.</x:v>
      </x:c>
      <x:c r="I23" s="3" t="str">
        <x:v>N/D</x:v>
      </x:c>
      <x:c r="J23" s="3" t="str">
        <x:v>https://www.idealista.it/immobile/36636990/</x:v>
      </x:c>
      <x:c r="K23" s="9" t="n">
        <x:v>46270</x:v>
      </x:c>
      <x:c r="L23" s="3" t="str">
        <x:v>Scheda annuncio</x:v>
      </x:c>
      <x:c r="M23" s="3" t="str">
        <x:v>N/D</x:v>
      </x:c>
    </x:row>
    <x:row r="24" ht="60" customHeight="1">
      <x:c r="A24" s="3" t="n">
        <x:v>223</x:v>
      </x:c>
      <x:c r="B24" s="3" t="n">
        <x:v>36031403</x:v>
      </x:c>
      <x:c r="C24" s="3" t="str">
        <x:v>Idealista</x:v>
      </x:c>
      <x:c r="D24" s="3" t="str">
        <x:v>Città Studi</x:v>
      </x:c>
      <x:c r="E24" s="3" t="str">
        <x:v>Piazza Enrico Bottini, 4</x:v>
      </x:c>
      <x:c r="F24" s="3" t="str">
        <x:v>https://www.idealista.it/immobile/36031403/</x:v>
      </x:c>
      <x:c r="G24" s="3" t="str">
        <x:v>Scheda annuncio</x:v>
      </x:c>
      <x:c r="H24" s="3" t="str">
        <x:v>Controllo duplicati per URL, indirizzo, prezzo e superficie rispetto al campione precedente.</x:v>
      </x:c>
      <x:c r="I24" s="3" t="str">
        <x:v>G</x:v>
      </x:c>
      <x:c r="J24" s="3" t="str">
        <x:v>https://www.immobiliare.it/annunci/126292469/</x:v>
      </x:c>
      <x:c r="K24" s="9" t="n">
        <x:v>46270</x:v>
      </x:c>
      <x:c r="L24" s="3" t="str">
        <x:v>Annuncio corrispondente: indirizzo, prezzo e superficie concordanti</x:v>
      </x:c>
      <x:c r="M24" s="3" t="str">
        <x:v>175</x:v>
      </x:c>
    </x:row>
    <x:row r="25" ht="60" customHeight="1">
      <x:c r="A25" s="3" t="n">
        <x:v>224</x:v>
      </x:c>
      <x:c r="B25" s="3" t="n">
        <x:v>36115773</x:v>
      </x:c>
      <x:c r="C25" s="3" t="str">
        <x:v>Idealista</x:v>
      </x:c>
      <x:c r="D25" s="3" t="str">
        <x:v>Città Studi</x:v>
      </x:c>
      <x:c r="E25" s="3" t="str">
        <x:v>Via Alessandro Milesi, 4</x:v>
      </x:c>
      <x:c r="F25" s="3" t="str">
        <x:v>https://www.idealista.it/immobile/36115773/</x:v>
      </x:c>
      <x:c r="G25" s="3" t="str">
        <x:v>Scheda annuncio</x:v>
      </x:c>
      <x:c r="H25" s="3" t="str">
        <x:v>Controllo duplicati per URL, indirizzo, prezzo e superficie rispetto al campione precedente.</x:v>
      </x:c>
      <x:c r="I25" s="3" t="str">
        <x:v>N/D</x:v>
      </x:c>
      <x:c r="J25" s="3" t="str">
        <x:v>https://www.idealista.it/immobile/36115773/</x:v>
      </x:c>
      <x:c r="K25" s="9" t="n">
        <x:v>46270</x:v>
      </x:c>
      <x:c r="L25" s="3" t="str">
        <x:v>Scheda annuncio</x:v>
      </x:c>
      <x:c r="M25" s="3" t="str">
        <x:v>N/D</x:v>
      </x:c>
    </x:row>
    <x:row r="26" ht="60" customHeight="1">
      <x:c r="A26" s="3" t="n">
        <x:v>225</x:v>
      </x:c>
      <x:c r="B26" s="3" t="n">
        <x:v>36191770</x:v>
      </x:c>
      <x:c r="C26" s="3" t="str">
        <x:v>Idealista</x:v>
      </x:c>
      <x:c r="D26" s="3" t="str">
        <x:v>Città Studi</x:v>
      </x:c>
      <x:c r="E26" s="3" t="str">
        <x:v>Via Beato Angelico, 1</x:v>
      </x:c>
      <x:c r="F26" s="3" t="str">
        <x:v>https://www.idealista.it/immobile/36191770/</x:v>
      </x:c>
      <x:c r="G26" s="3" t="str">
        <x:v>Scheda annuncio</x:v>
      </x:c>
      <x:c r="H26" s="3" t="str">
        <x:v>Controllo duplicati per URL, indirizzo, prezzo e superficie rispetto al campione precedente.</x:v>
      </x:c>
      <x:c r="I26" s="3" t="str">
        <x:v>E</x:v>
      </x:c>
      <x:c r="J26" s="3" t="str">
        <x:v>https://www.immobiliare.it/annunci/130761290/</x:v>
      </x:c>
      <x:c r="K26" s="9" t="n">
        <x:v>46270</x:v>
      </x:c>
      <x:c r="L26" s="3" t="str">
        <x:v>Annuncio corrispondente: indirizzo, prezzo e superficie concordanti</x:v>
      </x:c>
      <x:c r="M26" s="3" t="str">
        <x:v>≥ 3,51</x:v>
      </x:c>
    </x:row>
    <x:row r="27" ht="60" customHeight="1">
      <x:c r="A27" s="3" t="n">
        <x:v>226</x:v>
      </x:c>
      <x:c r="B27" s="3" t="n">
        <x:v>30347173</x:v>
      </x:c>
      <x:c r="C27" s="3" t="str">
        <x:v>Idealista</x:v>
      </x:c>
      <x:c r="D27" s="3" t="str">
        <x:v>Città Studi</x:v>
      </x:c>
      <x:c r="E27" s="3" t="str">
        <x:v>Via Giovanni Pacini, 38</x:v>
      </x:c>
      <x:c r="F27" s="3" t="str">
        <x:v>https://www.idealista.it/immobile/30347173/</x:v>
      </x:c>
      <x:c r="G27" s="3" t="str">
        <x:v>Scheda annuncio</x:v>
      </x:c>
      <x:c r="H27" s="3" t="str">
        <x:v>Controllo duplicati per URL, indirizzo, prezzo e superficie rispetto al campione precedente.</x:v>
      </x:c>
      <x:c r="I27" s="3" t="str">
        <x:v>N/D</x:v>
      </x:c>
      <x:c r="J27" s="3" t="str">
        <x:v>https://www.idealista.it/immobile/30347173/</x:v>
      </x:c>
      <x:c r="K27" s="9" t="n">
        <x:v>46270</x:v>
      </x:c>
      <x:c r="L27" s="3" t="str">
        <x:v>Scheda annuncio</x:v>
      </x:c>
      <x:c r="M27" s="3" t="str">
        <x:v>220,6</x:v>
      </x:c>
    </x:row>
    <x:row r="28" ht="60" customHeight="1">
      <x:c r="A28" s="3" t="n">
        <x:v>227</x:v>
      </x:c>
      <x:c r="B28" s="3" t="n">
        <x:v>36308281</x:v>
      </x:c>
      <x:c r="C28" s="3" t="str">
        <x:v>Idealista</x:v>
      </x:c>
      <x:c r="D28" s="3" t="str">
        <x:v>Città Studi</x:v>
      </x:c>
      <x:c r="E28" s="3" t="str">
        <x:v>Via Giuseppe Bardelli, 4</x:v>
      </x:c>
      <x:c r="F28" s="3" t="str">
        <x:v>https://www.idealista.it/immobile/36308281/</x:v>
      </x:c>
      <x:c r="G28" s="3" t="str">
        <x:v>Scheda annuncio</x:v>
      </x:c>
      <x:c r="H28" s="3" t="str">
        <x:v>Controllo duplicati per URL, indirizzo, prezzo e superficie rispetto al campione precedente.</x:v>
      </x:c>
      <x:c r="I28" s="3" t="str">
        <x:v>N/D</x:v>
      </x:c>
      <x:c r="J28" s="3" t="str">
        <x:v>https://www.idealista.it/immobile/36308281/</x:v>
      </x:c>
      <x:c r="K28" s="9" t="n">
        <x:v>46270</x:v>
      </x:c>
      <x:c r="L28" s="3" t="str">
        <x:v>Scheda annuncio</x:v>
      </x:c>
      <x:c r="M28" s="3" t="str">
        <x:v>157,25</x:v>
      </x:c>
    </x:row>
    <x:row r="29" ht="60" customHeight="1">
      <x:c r="A29" s="3" t="n">
        <x:v>228</x:v>
      </x:c>
      <x:c r="B29" s="3" t="n">
        <x:v>129781678</x:v>
      </x:c>
      <x:c r="C29" s="3" t="str">
        <x:v>Immobiliare.it</x:v>
      </x:c>
      <x:c r="D29" s="3" t="str">
        <x:v>Città Studi</x:v>
      </x:c>
      <x:c r="E29" s="3" t="str">
        <x:v>piazza Giovanni Giolitti</x:v>
      </x:c>
      <x:c r="F29" s="3" t="str">
        <x:v>https://www.immobiliare.it/annunci/129781678/</x:v>
      </x:c>
      <x:c r="G29" s="3" t="str">
        <x:v>Scheda annuncio</x:v>
      </x:c>
      <x:c r="H29" s="3" t="str">
        <x:v>Controllo duplicati per URL, indirizzo, prezzo e superficie rispetto al campione precedente.</x:v>
      </x:c>
      <x:c r="I29" s="3" t="str">
        <x:v>F</x:v>
      </x:c>
      <x:c r="J29" s="3" t="str">
        <x:v>https://www.immobiliare.it/annunci/129781678/</x:v>
      </x:c>
      <x:c r="K29" s="9" t="n">
        <x:v>46270</x:v>
      </x:c>
      <x:c r="L29" s="3" t="str">
        <x:v>Scheda annuncio</x:v>
      </x:c>
      <x:c r="M29" s="3" t="str">
        <x:v>152.34</x:v>
      </x:c>
    </x:row>
    <x:row r="30" ht="60" customHeight="1">
      <x:c r="A30" s="3" t="n">
        <x:v>229</x:v>
      </x:c>
      <x:c r="B30" s="3" t="n">
        <x:v>130942194</x:v>
      </x:c>
      <x:c r="C30" s="3" t="str">
        <x:v>Immobiliare.it</x:v>
      </x:c>
      <x:c r="D30" s="3" t="str">
        <x:v>Città Studi</x:v>
      </x:c>
      <x:c r="E30" s="3" t="str">
        <x:v>via Giovanni Pascoli 56</x:v>
      </x:c>
      <x:c r="F30" s="3" t="str">
        <x:v>https://www.immobiliare.it/annunci/130942194/</x:v>
      </x:c>
      <x:c r="G30" s="3" t="str">
        <x:v>Scheda annuncio</x:v>
      </x:c>
      <x:c r="H30" s="3" t="str">
        <x:v>Controllo duplicati per URL, indirizzo, prezzo e superficie rispetto al campione precedente.</x:v>
      </x:c>
      <x:c r="I30" s="3" t="str">
        <x:v>D</x:v>
      </x:c>
      <x:c r="J30" s="3" t="str">
        <x:v>https://www.immobiliare.it/annunci/130942194/</x:v>
      </x:c>
      <x:c r="K30" s="9" t="n">
        <x:v>46270</x:v>
      </x:c>
      <x:c r="L30" s="3" t="str">
        <x:v>Scheda annuncio</x:v>
      </x:c>
      <x:c r="M30" s="3" t="str">
        <x:v>122.37</x:v>
      </x:c>
    </x:row>
    <x:row r="31" ht="60" customHeight="1">
      <x:c r="A31" s="3" t="n">
        <x:v>230</x:v>
      </x:c>
      <x:c r="B31" s="3" t="n">
        <x:v>127376255</x:v>
      </x:c>
      <x:c r="C31" s="3" t="str">
        <x:v>Immobiliare.it</x:v>
      </x:c>
      <x:c r="D31" s="3" t="str">
        <x:v>Città Studi</x:v>
      </x:c>
      <x:c r="E31" s="3" t="str">
        <x:v>via Giuseppe Colombo</x:v>
      </x:c>
      <x:c r="F31" s="3" t="str">
        <x:v>https://www.immobiliare.it/annunci/127376255/</x:v>
      </x:c>
      <x:c r="G31" s="3" t="str">
        <x:v>Scheda annuncio</x:v>
      </x:c>
      <x:c r="H31" s="3" t="str">
        <x:v>Controllo duplicati per URL, indirizzo, prezzo e superficie rispetto al campione precedente.</x:v>
      </x:c>
      <x:c r="I31" s="3" t="str">
        <x:v>F</x:v>
      </x:c>
      <x:c r="J31" s="3" t="str">
        <x:v>https://www.immobiliare.it/annunci/127376255/</x:v>
      </x:c>
      <x:c r="K31" s="9" t="n">
        <x:v>46270</x:v>
      </x:c>
      <x:c r="L31" s="3" t="str">
        <x:v>Scheda annuncio</x:v>
      </x:c>
      <x:c r="M31" s="3" t="str">
        <x:v>154</x:v>
      </x:c>
    </x:row>
    <x:row r="32" ht="60" customHeight="1">
      <x:c r="A32" s="3" t="n">
        <x:v>231</x:v>
      </x:c>
      <x:c r="B32" s="3" t="n">
        <x:v>123827283</x:v>
      </x:c>
      <x:c r="C32" s="3" t="str">
        <x:v>Immobiliare.it</x:v>
      </x:c>
      <x:c r="D32" s="3" t="str">
        <x:v>Zara</x:v>
      </x:c>
      <x:c r="E32" s="3" t="str">
        <x:v>piazzale Segrino 5</x:v>
      </x:c>
      <x:c r="F32" s="3" t="str">
        <x:v>https://www.immobiliare.it/annunci/123827283/</x:v>
      </x:c>
      <x:c r="G32" s="3" t="str">
        <x:v>Scheda annuncio</x:v>
      </x:c>
      <x:c r="H32" s="3" t="str">
        <x:v>Controllo duplicati per URL, indirizzo, prezzo e superficie rispetto al campione precedente.</x:v>
      </x:c>
      <x:c r="I32" s="3" t="str">
        <x:v>G</x:v>
      </x:c>
      <x:c r="J32" s="3" t="str">
        <x:v>https://www.immobiliare.it/annunci/123827283/</x:v>
      </x:c>
      <x:c r="K32" s="9" t="n">
        <x:v>46270</x:v>
      </x:c>
      <x:c r="L32" s="3" t="str">
        <x:v>Scheda annuncio</x:v>
      </x:c>
      <x:c r="M32" s="3" t="str">
        <x:v>170</x:v>
      </x:c>
    </x:row>
    <x:row r="33" ht="60" customHeight="1">
      <x:c r="A33" s="3" t="n">
        <x:v>232</x:v>
      </x:c>
      <x:c r="B33" s="3" t="n">
        <x:v>130675258</x:v>
      </x:c>
      <x:c r="C33" s="3" t="str">
        <x:v>Immobiliare.it</x:v>
      </x:c>
      <x:c r="D33" s="3" t="str">
        <x:v>Zara</x:v>
      </x:c>
      <x:c r="E33" s="3" t="str">
        <x:v>via Abbadesse 46</x:v>
      </x:c>
      <x:c r="F33" s="3" t="str">
        <x:v>https://www.immobiliare.it/annunci/130675258/</x:v>
      </x:c>
      <x:c r="G33" s="3" t="str">
        <x:v>Scheda annuncio</x:v>
      </x:c>
      <x:c r="H33" s="3" t="str">
        <x:v>Controllo duplicati per URL, indirizzo, prezzo e superficie rispetto al campione precedente.</x:v>
      </x:c>
      <x:c r="I33" s="3" t="str">
        <x:v>A</x:v>
      </x:c>
      <x:c r="J33" s="3" t="str">
        <x:v>https://www.immobiliare.it/annunci/130675258/</x:v>
      </x:c>
      <x:c r="K33" s="9" t="n">
        <x:v>46270</x:v>
      </x:c>
      <x:c r="L33" s="3" t="str">
        <x:v>Scheda annuncio</x:v>
      </x:c>
      <x:c r="M33" s="3" t="str">
        <x:v>≥ 175</x:v>
      </x:c>
    </x:row>
    <x:row r="34" ht="60" customHeight="1">
      <x:c r="A34" s="3" t="n">
        <x:v>233</x:v>
      </x:c>
      <x:c r="B34" s="3" t="n">
        <x:v>130091912</x:v>
      </x:c>
      <x:c r="C34" s="3" t="str">
        <x:v>Immobiliare.it</x:v>
      </x:c>
      <x:c r="D34" s="3" t="str">
        <x:v>Zara</x:v>
      </x:c>
      <x:c r="E34" s="3" t="str">
        <x:v>via Lario 14</x:v>
      </x:c>
      <x:c r="F34" s="3" t="str">
        <x:v>https://www.immobiliare.it/annunci/130091912/</x:v>
      </x:c>
      <x:c r="G34" s="3" t="str">
        <x:v>Scheda annuncio</x:v>
      </x:c>
      <x:c r="H34" s="3" t="str">
        <x:v>Controllo duplicati per URL, indirizzo, prezzo e superficie rispetto al campione precedente.</x:v>
      </x:c>
      <x:c r="I34" s="3" t="str">
        <x:v>E</x:v>
      </x:c>
      <x:c r="J34" s="3" t="str">
        <x:v>https://www.immobiliare.it/annunci/130091912/</x:v>
      </x:c>
      <x:c r="K34" s="9" t="n">
        <x:v>46270</x:v>
      </x:c>
      <x:c r="L34" s="3" t="str">
        <x:v>Scheda annuncio</x:v>
      </x:c>
      <x:c r="M34" s="3" t="str">
        <x:v>218.91</x:v>
      </x:c>
    </x:row>
    <x:row r="35" ht="60" customHeight="1">
      <x:c r="A35" s="3" t="n">
        <x:v>234</x:v>
      </x:c>
      <x:c r="B35" s="3" t="n">
        <x:v>131613290</x:v>
      </x:c>
      <x:c r="C35" s="3" t="str">
        <x:v>Immobiliare.it</x:v>
      </x:c>
      <x:c r="D35" s="3" t="str">
        <x:v>Zara</x:v>
      </x:c>
      <x:c r="E35" s="3" t="str">
        <x:v>via Lario 8</x:v>
      </x:c>
      <x:c r="F35" s="3" t="str">
        <x:v>https://www.immobiliare.it/annunci/131613290/</x:v>
      </x:c>
      <x:c r="G35" s="3" t="str">
        <x:v>Scheda annuncio</x:v>
      </x:c>
      <x:c r="H35" s="3" t="str">
        <x:v>Controllo duplicati per URL, indirizzo, prezzo e superficie rispetto al campione precedente.</x:v>
      </x:c>
      <x:c r="I35" s="3" t="str">
        <x:v>F</x:v>
      </x:c>
      <x:c r="J35" s="3" t="str">
        <x:v>https://www.immobiliare.it/annunci/131613290/</x:v>
      </x:c>
      <x:c r="K35" s="9" t="n">
        <x:v>46270</x:v>
      </x:c>
      <x:c r="L35" s="3" t="str">
        <x:v>Scheda annuncio</x:v>
      </x:c>
      <x:c r="M35" s="3" t="str">
        <x:v>287.16</x:v>
      </x:c>
    </x:row>
    <x:row r="36" ht="60" customHeight="1">
      <x:c r="A36" s="3" t="n">
        <x:v>235</x:v>
      </x:c>
      <x:c r="B36" s="3" t="n">
        <x:v>127893552</x:v>
      </x:c>
      <x:c r="C36" s="3" t="str">
        <x:v>Immobiliare.it</x:v>
      </x:c>
      <x:c r="D36" s="3" t="str">
        <x:v>Zara</x:v>
      </x:c>
      <x:c r="E36" s="3" t="str">
        <x:v>via Monte Cristallo, 3</x:v>
      </x:c>
      <x:c r="F36" s="3" t="str">
        <x:v>https://www.immobiliare.it/annunci/127893552/</x:v>
      </x:c>
      <x:c r="G36" s="3" t="str">
        <x:v>Scheda annuncio</x:v>
      </x:c>
      <x:c r="H36" s="3" t="str">
        <x:v>Controllo duplicati per URL, indirizzo, prezzo e superficie rispetto al campione precedente.</x:v>
      </x:c>
      <x:c r="I36" s="3" t="str">
        <x:v>G</x:v>
      </x:c>
      <x:c r="J36" s="3" t="str">
        <x:v>https://www.immobiliare.it/annunci/127893552/</x:v>
      </x:c>
      <x:c r="K36" s="9" t="n">
        <x:v>46270</x:v>
      </x:c>
      <x:c r="L36" s="3" t="str">
        <x:v>Scheda annuncio</x:v>
      </x:c>
      <x:c r="M36" s="3" t="str">
        <x:v>241.69</x:v>
      </x:c>
    </x:row>
    <x:row r="37" ht="60" customHeight="1">
      <x:c r="A37" s="3" t="n">
        <x:v>236</x:v>
      </x:c>
      <x:c r="B37" s="3" t="n">
        <x:v>131638280</x:v>
      </x:c>
      <x:c r="C37" s="3" t="str">
        <x:v>Immobiliare.it</x:v>
      </x:c>
      <x:c r="D37" s="3" t="str">
        <x:v>Zara</x:v>
      </x:c>
      <x:c r="E37" s="3" t="str">
        <x:v>via Torquato Taramelli 5</x:v>
      </x:c>
      <x:c r="F37" s="3" t="str">
        <x:v>https://www.immobiliare.it/annunci/131638280/</x:v>
      </x:c>
      <x:c r="G37" s="3" t="str">
        <x:v>Scheda annuncio</x:v>
      </x:c>
      <x:c r="H37" s="3" t="str">
        <x:v>Controllo duplicati per URL, indirizzo, prezzo e superficie rispetto al campione precedente.</x:v>
      </x:c>
      <x:c r="I37" s="3" t="str">
        <x:v>G</x:v>
      </x:c>
      <x:c r="J37" s="3" t="str">
        <x:v>https://www.immobiliare.it/annunci/131638280/</x:v>
      </x:c>
      <x:c r="K37" s="9" t="n">
        <x:v>46270</x:v>
      </x:c>
      <x:c r="L37" s="3" t="str">
        <x:v>Scheda annuncio</x:v>
      </x:c>
      <x:c r="M37" s="3" t="str">
        <x:v>≥ 175</x:v>
      </x:c>
    </x:row>
    <x:row r="38" ht="60" customHeight="1">
      <x:c r="A38" s="3" t="n">
        <x:v>237</x:v>
      </x:c>
      <x:c r="B38" s="3" t="n">
        <x:v>129885794</x:v>
      </x:c>
      <x:c r="C38" s="3" t="str">
        <x:v>Immobiliare.it</x:v>
      </x:c>
      <x:c r="D38" s="3" t="str">
        <x:v>Baggio</x:v>
      </x:c>
      <x:c r="E38" s="3" t="str">
        <x:v>via Quinto Romano 22</x:v>
      </x:c>
      <x:c r="F38" s="3" t="str">
        <x:v>https://www.immobiliare.it/annunci/129885794/</x:v>
      </x:c>
      <x:c r="G38" s="3" t="str">
        <x:v>Scheda annuncio</x:v>
      </x:c>
      <x:c r="H38" s="3" t="str">
        <x:v>Controllo duplicati per URL, indirizzo, prezzo e superficie rispetto al campione precedente.</x:v>
      </x:c>
      <x:c r="I38" s="3" t="str">
        <x:v>E</x:v>
      </x:c>
      <x:c r="J38" s="3" t="str">
        <x:v>https://www.immobiliare.it/annunci/129885794/</x:v>
      </x:c>
      <x:c r="K38" s="9" t="n">
        <x:v>46270</x:v>
      </x:c>
      <x:c r="L38" s="3" t="str">
        <x:v>Scheda annuncio</x:v>
      </x:c>
      <x:c r="M38" s="3" t="str">
        <x:v>≥ 175</x:v>
      </x:c>
    </x:row>
    <x:row r="39" ht="60" customHeight="1">
      <x:c r="A39" s="3" t="n">
        <x:v>238</x:v>
      </x:c>
      <x:c r="B39" s="3" t="n">
        <x:v>129983512</x:v>
      </x:c>
      <x:c r="C39" s="3" t="str">
        <x:v>Immobiliare.it</x:v>
      </x:c>
      <x:c r="D39" s="3" t="str">
        <x:v>Baggio</x:v>
      </x:c>
      <x:c r="E39" s="3" t="str">
        <x:v>via Capri 6</x:v>
      </x:c>
      <x:c r="F39" s="3" t="str">
        <x:v>https://www.immobiliare.it/annunci/129983512/</x:v>
      </x:c>
      <x:c r="G39" s="3" t="str">
        <x:v>Scheda annuncio</x:v>
      </x:c>
      <x:c r="H39" s="3" t="str">
        <x:v>Controllo duplicati per URL, indirizzo, prezzo e superficie rispetto al campione precedente.</x:v>
      </x:c>
      <x:c r="I39" s="3" t="str">
        <x:v>B</x:v>
      </x:c>
      <x:c r="J39" s="3" t="str">
        <x:v>https://www.immobiliare.it/annunci/129983512/</x:v>
      </x:c>
      <x:c r="K39" s="9" t="n">
        <x:v>46270</x:v>
      </x:c>
      <x:c r="L39" s="3" t="str">
        <x:v>Scheda annuncio</x:v>
      </x:c>
      <x:c r="M39" s="3" t="str">
        <x:v>82.85</x:v>
      </x:c>
    </x:row>
    <x:row r="40" ht="60" customHeight="1">
      <x:c r="A40" s="3" t="n">
        <x:v>239</x:v>
      </x:c>
      <x:c r="B40" s="3" t="n">
        <x:v>130328700</x:v>
      </x:c>
      <x:c r="C40" s="3" t="str">
        <x:v>Immobiliare.it</x:v>
      </x:c>
      <x:c r="D40" s="3" t="str">
        <x:v>Baggio</x:v>
      </x:c>
      <x:c r="E40" s="3" t="str">
        <x:v>via Capri 9</x:v>
      </x:c>
      <x:c r="F40" s="3" t="str">
        <x:v>https://www.immobiliare.it/annunci/130328700/</x:v>
      </x:c>
      <x:c r="G40" s="3" t="str">
        <x:v>Scheda annuncio</x:v>
      </x:c>
      <x:c r="H40" s="3" t="str">
        <x:v>Controllo duplicati per URL, indirizzo, prezzo e superficie rispetto al campione precedente.</x:v>
      </x:c>
      <x:c r="I40" s="3" t="str">
        <x:v>E</x:v>
      </x:c>
      <x:c r="J40" s="3" t="str">
        <x:v>https://www.immobiliare.it/annunci/130328700/</x:v>
      </x:c>
      <x:c r="K40" s="9" t="n">
        <x:v>46270</x:v>
      </x:c>
      <x:c r="L40" s="3" t="str">
        <x:v>Scheda annuncio</x:v>
      </x:c>
      <x:c r="M40" s="3" t="str">
        <x:v>≥ 3,51</x:v>
      </x:c>
    </x:row>
    <x:row r="41" ht="60" customHeight="1">
      <x:c r="A41" s="3" t="n">
        <x:v>240</x:v>
      </x:c>
      <x:c r="B41" s="3" t="n">
        <x:v>122530416</x:v>
      </x:c>
      <x:c r="C41" s="3" t="str">
        <x:v>Immobiliare.it</x:v>
      </x:c>
      <x:c r="D41" s="3" t="str">
        <x:v>Baggio</x:v>
      </x:c>
      <x:c r="E41" s="3" t="str">
        <x:v>via Francesco Rismondo 110</x:v>
      </x:c>
      <x:c r="F41" s="3" t="str">
        <x:v>https://www.immobiliare.it/annunci/122530416/</x:v>
      </x:c>
      <x:c r="G41" s="3" t="str">
        <x:v>Scheda annuncio</x:v>
      </x:c>
      <x:c r="H41" s="3" t="str">
        <x:v>Controllo duplicati per URL, indirizzo, prezzo e superficie rispetto al campione precedente.</x:v>
      </x:c>
      <x:c r="I41" s="3" t="str">
        <x:v>A</x:v>
      </x:c>
      <x:c r="J41" s="3" t="str">
        <x:v>https://www.immobiliare.it/annunci/122530416/</x:v>
      </x:c>
      <x:c r="K41" s="9" t="n">
        <x:v>46270</x:v>
      </x:c>
      <x:c r="L41" s="3" t="str">
        <x:v>Scheda annuncio</x:v>
      </x:c>
      <x:c r="M41" s="3" t="str">
        <x:v>≥ 175</x:v>
      </x:c>
    </x:row>
    <x:row r="42" ht="60" customHeight="1">
      <x:c r="A42" s="3" t="n">
        <x:v>241</x:v>
      </x:c>
      <x:c r="B42" s="3" t="n">
        <x:v>131544718</x:v>
      </x:c>
      <x:c r="C42" s="3" t="str">
        <x:v>Immobiliare.it</x:v>
      </x:c>
      <x:c r="D42" s="3" t="str">
        <x:v>Baggio</x:v>
      </x:c>
      <x:c r="E42" s="3" t="str">
        <x:v>via Pietro Canevari 7</x:v>
      </x:c>
      <x:c r="F42" s="3" t="str">
        <x:v>https://www.immobiliare.it/annunci/131544718/</x:v>
      </x:c>
      <x:c r="G42" s="3" t="str">
        <x:v>Scheda annuncio</x:v>
      </x:c>
      <x:c r="H42" s="3" t="str">
        <x:v>Controllo duplicati per URL, indirizzo, prezzo e superficie rispetto al campione precedente.</x:v>
      </x:c>
      <x:c r="I42" s="3" t="str">
        <x:v>F</x:v>
      </x:c>
      <x:c r="J42" s="3" t="str">
        <x:v>https://www.immobiliare.it/annunci/131544718/</x:v>
      </x:c>
      <x:c r="K42" s="9" t="n">
        <x:v>46270</x:v>
      </x:c>
      <x:c r="L42" s="3" t="str">
        <x:v>Scheda annuncio</x:v>
      </x:c>
      <x:c r="M42" s="3" t="str">
        <x:v>≥ 3,51</x:v>
      </x:c>
    </x:row>
    <x:row r="43" ht="60" customHeight="1">
      <x:c r="A43" s="3" t="n">
        <x:v>242</x:v>
      </x:c>
      <x:c r="B43" s="3" t="n">
        <x:v>130178534</x:v>
      </x:c>
      <x:c r="C43" s="3" t="str">
        <x:v>Immobiliare.it</x:v>
      </x:c>
      <x:c r="D43" s="3" t="str">
        <x:v>Baggio</x:v>
      </x:c>
      <x:c r="E43" s="3" t="str">
        <x:v>via Pietro Colla 36</x:v>
      </x:c>
      <x:c r="F43" s="3" t="str">
        <x:v>https://www.immobiliare.it/annunci/130178534/</x:v>
      </x:c>
      <x:c r="G43" s="3" t="str">
        <x:v>Scheda annuncio</x:v>
      </x:c>
      <x:c r="H43" s="3" t="str">
        <x:v>Controllo duplicati per URL, indirizzo, prezzo e superficie rispetto al campione precedente.</x:v>
      </x:c>
      <x:c r="I43" s="3" t="str">
        <x:v>G</x:v>
      </x:c>
      <x:c r="J43" s="3" t="str">
        <x:v>https://www.immobiliare.it/annunci/130178534/</x:v>
      </x:c>
      <x:c r="K43" s="9" t="n">
        <x:v>46270</x:v>
      </x:c>
      <x:c r="L43" s="3" t="str">
        <x:v>Scheda annuncio</x:v>
      </x:c>
      <x:c r="M43" s="3" t="str">
        <x:v>175</x:v>
      </x:c>
    </x:row>
    <x:row r="44" ht="60" customHeight="1">
      <x:c r="A44" s="3" t="n">
        <x:v>243</x:v>
      </x:c>
      <x:c r="B44" s="3" t="n">
        <x:v>127678794</x:v>
      </x:c>
      <x:c r="C44" s="3" t="str">
        <x:v>Immobiliare.it</x:v>
      </x:c>
      <x:c r="D44" s="3" t="str">
        <x:v>Baggio</x:v>
      </x:c>
      <x:c r="E44" s="3" t="str">
        <x:v>via Valle Anzasca 20</x:v>
      </x:c>
      <x:c r="F44" s="3" t="str">
        <x:v>https://www.immobiliare.it/annunci/127678794/</x:v>
      </x:c>
      <x:c r="G44" s="3" t="str">
        <x:v>Scheda annuncio</x:v>
      </x:c>
      <x:c r="H44" s="3" t="str">
        <x:v>Controllo duplicati per URL, indirizzo, prezzo e superficie rispetto al campione precedente.</x:v>
      </x:c>
      <x:c r="I44" s="3" t="str">
        <x:v>A2</x:v>
      </x:c>
      <x:c r="J44" s="3" t="str">
        <x:v>https://www.immobiliare.it/annunci/127678794/</x:v>
      </x:c>
      <x:c r="K44" s="9" t="n">
        <x:v>46270</x:v>
      </x:c>
      <x:c r="L44" s="3" t="str">
        <x:v>Scheda annuncio</x:v>
      </x:c>
      <x:c r="M44" s="3" t="str">
        <x:v>≥ 3,51</x:v>
      </x:c>
    </x:row>
    <x:row r="45" ht="60" customHeight="1">
      <x:c r="A45" s="3" t="n">
        <x:v>244</x:v>
      </x:c>
      <x:c r="B45" s="3" t="n">
        <x:v>130528514</x:v>
      </x:c>
      <x:c r="C45" s="3" t="str">
        <x:v>Immobiliare.it</x:v>
      </x:c>
      <x:c r="D45" s="3" t="str">
        <x:v>Baggio</x:v>
      </x:c>
      <x:c r="E45" s="3" t="str">
        <x:v>via delle Forze Armate 260</x:v>
      </x:c>
      <x:c r="F45" s="3" t="str">
        <x:v>https://www.immobiliare.it/annunci/130528514/</x:v>
      </x:c>
      <x:c r="G45" s="3" t="str">
        <x:v>Scheda annuncio</x:v>
      </x:c>
      <x:c r="H45" s="3" t="str">
        <x:v>Controllo duplicati per URL, indirizzo, prezzo e superficie rispetto al campione precedente.</x:v>
      </x:c>
      <x:c r="I45" s="3" t="str">
        <x:v>G</x:v>
      </x:c>
      <x:c r="J45" s="3" t="str">
        <x:v>https://www.immobiliare.it/annunci/130528514/</x:v>
      </x:c>
      <x:c r="K45" s="9" t="n">
        <x:v>46270</x:v>
      </x:c>
      <x:c r="L45" s="3" t="str">
        <x:v>Scheda annuncio</x:v>
      </x:c>
      <x:c r="M45" s="3" t="str">
        <x:v>244.96</x:v>
      </x:c>
    </x:row>
    <x:row r="46" ht="60" customHeight="1">
      <x:c r="A46" s="3" t="n">
        <x:v>245</x:v>
      </x:c>
      <x:c r="B46" s="3" t="n">
        <x:v>131391716</x:v>
      </x:c>
      <x:c r="C46" s="3" t="str">
        <x:v>Immobiliare.it</x:v>
      </x:c>
      <x:c r="D46" s="3" t="str">
        <x:v>Affori</x:v>
      </x:c>
      <x:c r="E46" s="3" t="str">
        <x:v>via Alessandro Astesani 41</x:v>
      </x:c>
      <x:c r="F46" s="3" t="str">
        <x:v>https://www.immobiliare.it/annunci/131391716/</x:v>
      </x:c>
      <x:c r="G46" s="3" t="str">
        <x:v>Scheda annuncio</x:v>
      </x:c>
      <x:c r="H46" s="3" t="str">
        <x:v>Controllo duplicati per URL, indirizzo, prezzo e superficie rispetto al campione precedente.</x:v>
      </x:c>
      <x:c r="I46" s="3" t="str">
        <x:v>N/D</x:v>
      </x:c>
      <x:c r="J46" s="3" t="str">
        <x:v>https://www.immobiliare.it/annunci/131391716/</x:v>
      </x:c>
      <x:c r="K46" s="9" t="n">
        <x:v>46270</x:v>
      </x:c>
      <x:c r="L46" s="3" t="str">
        <x:v>Scheda annuncio</x:v>
      </x:c>
      <x:c r="M46" s="3" t="str">
        <x:v>N/D</x:v>
      </x:c>
    </x:row>
    <x:row r="47" ht="60" customHeight="1">
      <x:c r="A47" s="3" t="n">
        <x:v>246</x:v>
      </x:c>
      <x:c r="B47" s="3" t="n">
        <x:v>131151762</x:v>
      </x:c>
      <x:c r="C47" s="3" t="str">
        <x:v>Immobiliare.it</x:v>
      </x:c>
      <x:c r="D47" s="3" t="str">
        <x:v>Affori</x:v>
      </x:c>
      <x:c r="E47" s="3" t="str">
        <x:v>via Alessandro Astesani 45</x:v>
      </x:c>
      <x:c r="F47" s="3" t="str">
        <x:v>https://www.immobiliare.it/annunci/131151762/</x:v>
      </x:c>
      <x:c r="G47" s="3" t="str">
        <x:v>Scheda annuncio</x:v>
      </x:c>
      <x:c r="H47" s="3" t="str">
        <x:v>Controllo duplicati per URL, indirizzo, prezzo e superficie rispetto al campione precedente.</x:v>
      </x:c>
      <x:c r="I47" s="3" t="str">
        <x:v>B</x:v>
      </x:c>
      <x:c r="J47" s="3" t="str">
        <x:v>https://www.immobiliare.it/annunci/131151762/</x:v>
      </x:c>
      <x:c r="K47" s="9" t="n">
        <x:v>46270</x:v>
      </x:c>
      <x:c r="L47" s="3" t="str">
        <x:v>Scheda annuncio</x:v>
      </x:c>
      <x:c r="M47" s="3" t="str">
        <x:v>≥ 3,51</x:v>
      </x:c>
    </x:row>
    <x:row r="48" ht="60" customHeight="1">
      <x:c r="A48" s="3" t="n">
        <x:v>247</x:v>
      </x:c>
      <x:c r="B48" s="3" t="n">
        <x:v>129952448</x:v>
      </x:c>
      <x:c r="C48" s="3" t="str">
        <x:v>Immobiliare.it</x:v>
      </x:c>
      <x:c r="D48" s="3" t="str">
        <x:v>Affori</x:v>
      </x:c>
      <x:c r="E48" s="3" t="str">
        <x:v>via Carlo Bellerio 22</x:v>
      </x:c>
      <x:c r="F48" s="3" t="str">
        <x:v>https://www.immobiliare.it/annunci/129952448/</x:v>
      </x:c>
      <x:c r="G48" s="3" t="str">
        <x:v>Scheda annuncio</x:v>
      </x:c>
      <x:c r="H48" s="3" t="str">
        <x:v>Controllo duplicati per URL, indirizzo, prezzo e superficie rispetto al campione precedente.</x:v>
      </x:c>
      <x:c r="I48" s="3" t="str">
        <x:v>E</x:v>
      </x:c>
      <x:c r="J48" s="3" t="str">
        <x:v>https://www.immobiliare.it/annunci/129952448/</x:v>
      </x:c>
      <x:c r="K48" s="9" t="n">
        <x:v>46270</x:v>
      </x:c>
      <x:c r="L48" s="3" t="str">
        <x:v>Scheda annuncio</x:v>
      </x:c>
      <x:c r="M48" s="3" t="str">
        <x:v>142.97</x:v>
      </x:c>
    </x:row>
    <x:row r="49" ht="60" customHeight="1">
      <x:c r="A49" s="3" t="n">
        <x:v>248</x:v>
      </x:c>
      <x:c r="B49" s="3" t="n">
        <x:v>132068376</x:v>
      </x:c>
      <x:c r="C49" s="3" t="str">
        <x:v>Immobiliare.it</x:v>
      </x:c>
      <x:c r="D49" s="3" t="str">
        <x:v>Affori</x:v>
      </x:c>
      <x:c r="E49" s="3" t="str">
        <x:v>via Chianciano 7</x:v>
      </x:c>
      <x:c r="F49" s="3" t="str">
        <x:v>https://www.immobiliare.it/annunci/132068376/</x:v>
      </x:c>
      <x:c r="G49" s="3" t="str">
        <x:v>Scheda annuncio</x:v>
      </x:c>
      <x:c r="H49" s="3" t="str">
        <x:v>Controllo duplicati per URL, indirizzo, prezzo e superficie rispetto al campione precedente.</x:v>
      </x:c>
      <x:c r="I49" s="3" t="str">
        <x:v>N/D</x:v>
      </x:c>
      <x:c r="J49" s="3" t="str">
        <x:v>https://www.immobiliare.it/annunci/132068376/</x:v>
      </x:c>
      <x:c r="K49" s="9" t="n">
        <x:v>46270</x:v>
      </x:c>
      <x:c r="L49" s="3" t="str">
        <x:v>Scheda annuncio</x:v>
      </x:c>
      <x:c r="M49" s="3" t="str">
        <x:v>N/D</x:v>
      </x:c>
    </x:row>
    <x:row r="50" ht="60" customHeight="1">
      <x:c r="A50" s="3" t="n">
        <x:v>249</x:v>
      </x:c>
      <x:c r="B50" s="3" t="n">
        <x:v>131046474</x:v>
      </x:c>
      <x:c r="C50" s="3" t="str">
        <x:v>Immobiliare.it</x:v>
      </x:c>
      <x:c r="D50" s="3" t="str">
        <x:v>Affori</x:v>
      </x:c>
      <x:c r="E50" s="3" t="str">
        <x:v>via Gabbro 12</x:v>
      </x:c>
      <x:c r="F50" s="3" t="str">
        <x:v>https://www.immobiliare.it/annunci/131046474/</x:v>
      </x:c>
      <x:c r="G50" s="3" t="str">
        <x:v>Scheda annuncio</x:v>
      </x:c>
      <x:c r="H50" s="3" t="str">
        <x:v>Controllo duplicati per URL, indirizzo, prezzo e superficie rispetto al campione precedente.</x:v>
      </x:c>
      <x:c r="I50" s="3" t="str">
        <x:v>F</x:v>
      </x:c>
      <x:c r="J50" s="3" t="str">
        <x:v>https://www.immobiliare.it/annunci/131046474/</x:v>
      </x:c>
      <x:c r="K50" s="9" t="n">
        <x:v>46270</x:v>
      </x:c>
      <x:c r="L50" s="3" t="str">
        <x:v>Scheda annuncio</x:v>
      </x:c>
      <x:c r="M50" s="3" t="str">
        <x:v>154.21</x:v>
      </x:c>
    </x:row>
    <x:row r="51" ht="60" customHeight="1">
      <x:c r="A51" s="3" t="n">
        <x:v>250</x:v>
      </x:c>
      <x:c r="B51" s="3" t="n">
        <x:v>132076988</x:v>
      </x:c>
      <x:c r="C51" s="3" t="str">
        <x:v>Immobiliare.it</x:v>
      </x:c>
      <x:c r="D51" s="3" t="str">
        <x:v>Affori</x:v>
      </x:c>
      <x:c r="E51" s="3" t="str">
        <x:v>via Gaetano Osculati 8</x:v>
      </x:c>
      <x:c r="F51" s="3" t="str">
        <x:v>https://www.immobiliare.it/annunci/132076988/</x:v>
      </x:c>
      <x:c r="G51" s="3" t="str">
        <x:v>Scheda annuncio</x:v>
      </x:c>
      <x:c r="H51" s="3" t="str">
        <x:v>Controllo duplicati per URL, indirizzo, prezzo e superficie rispetto al campione precedente.</x:v>
      </x:c>
      <x:c r="I51" s="3" t="str">
        <x:v>A2</x:v>
      </x:c>
      <x:c r="J51" s="3" t="str">
        <x:v>https://www.immobiliare.it/annunci/132076988/</x:v>
      </x:c>
      <x:c r="K51" s="9" t="n">
        <x:v>46270</x:v>
      </x:c>
      <x:c r="L51" s="3" t="str">
        <x:v>Scheda annuncio</x:v>
      </x:c>
      <x:c r="M51" s="3" t="str">
        <x:v>≥ 3,51</x:v>
      </x:c>
    </x:row>
    <x:row r="52" ht="60" customHeight="1">
      <x:c r="A52" s="3" t="n">
        <x:v>251</x:v>
      </x:c>
      <x:c r="B52" s="3" t="n">
        <x:v>130693220</x:v>
      </x:c>
      <x:c r="C52" s="3" t="str">
        <x:v>Immobiliare.it</x:v>
      </x:c>
      <x:c r="D52" s="3" t="str">
        <x:v>Affori</x:v>
      </x:c>
      <x:c r="E52" s="3" t="str">
        <x:v>via Privata Publio Rutilio Rufo, 20161 Milano Italia</x:v>
      </x:c>
      <x:c r="F52" s="3" t="str">
        <x:v>https://www.immobiliare.it/annunci/130693220/</x:v>
      </x:c>
      <x:c r="G52" s="3" t="str">
        <x:v>Scheda annuncio</x:v>
      </x:c>
      <x:c r="H52" s="3" t="str">
        <x:v>Controllo duplicati per URL, indirizzo, prezzo e superficie rispetto al campione precedente.</x:v>
      </x:c>
      <x:c r="I52" s="3" t="str">
        <x:v>N/D</x:v>
      </x:c>
      <x:c r="J52" s="3" t="str">
        <x:v>https://www.immobiliare.it/annunci/130693220/</x:v>
      </x:c>
      <x:c r="K52" s="9" t="n">
        <x:v>46270</x:v>
      </x:c>
      <x:c r="L52" s="3" t="str">
        <x:v>Scheda annuncio</x:v>
      </x:c>
      <x:c r="M52" s="3" t="str">
        <x:v>N/D</x:v>
      </x:c>
    </x:row>
    <x:row r="53" ht="60" customHeight="1">
      <x:c r="A53" s="3" t="n">
        <x:v>252</x:v>
      </x:c>
      <x:c r="B53" s="3" t="n">
        <x:v>123263217</x:v>
      </x:c>
      <x:c r="C53" s="3" t="str">
        <x:v>Immobiliare.it</x:v>
      </x:c>
      <x:c r="D53" s="3" t="str">
        <x:v>Dergano</x:v>
      </x:c>
      <x:c r="E53" s="3" t="str">
        <x:v>via Don Bartolomeo Grazioli 57</x:v>
      </x:c>
      <x:c r="F53" s="3" t="str">
        <x:v>https://www.immobiliare.it/annunci/123263217/</x:v>
      </x:c>
      <x:c r="G53" s="3" t="str">
        <x:v>Scheda annuncio</x:v>
      </x:c>
      <x:c r="H53" s="3" t="str">
        <x:v>Controllo duplicati per URL, indirizzo, prezzo e superficie rispetto al campione precedente.</x:v>
      </x:c>
      <x:c r="I53" s="3" t="str">
        <x:v>A</x:v>
      </x:c>
      <x:c r="J53" s="3" t="str">
        <x:v>https://www.immobiliare.it/annunci/123263217/</x:v>
      </x:c>
      <x:c r="K53" s="9" t="n">
        <x:v>46270</x:v>
      </x:c>
      <x:c r="L53" s="3" t="str">
        <x:v>Scheda annuncio</x:v>
      </x:c>
      <x:c r="M53" s="3" t="str">
        <x:v>≥ 175</x:v>
      </x:c>
    </x:row>
    <x:row r="54" ht="60" customHeight="1">
      <x:c r="A54" s="3" t="n">
        <x:v>253</x:v>
      </x:c>
      <x:c r="B54" s="3" t="n">
        <x:v>130266504</x:v>
      </x:c>
      <x:c r="C54" s="3" t="str">
        <x:v>Immobiliare.it</x:v>
      </x:c>
      <x:c r="D54" s="3" t="str">
        <x:v>Bocconi</x:v>
      </x:c>
      <x:c r="E54" s="3" t="str">
        <x:v>via Ripamonti 18</x:v>
      </x:c>
      <x:c r="F54" s="3" t="str">
        <x:v>https://www.immobiliare.it/annunci/130266504/</x:v>
      </x:c>
      <x:c r="G54" s="3" t="str">
        <x:v>Scheda annuncio</x:v>
      </x:c>
      <x:c r="H54" s="3" t="str">
        <x:v>Controllo duplicati per URL, indirizzo, prezzo e superficie rispetto al campione precedente.</x:v>
      </x:c>
      <x:c r="I54" s="3" t="str">
        <x:v>C</x:v>
      </x:c>
      <x:c r="J54" s="3" t="str">
        <x:v>https://www.immobiliare.it/annunci/130266504/</x:v>
      </x:c>
      <x:c r="K54" s="9" t="n">
        <x:v>46270</x:v>
      </x:c>
      <x:c r="L54" s="3" t="str">
        <x:v>Scheda annuncio</x:v>
      </x:c>
      <x:c r="M54" s="3" t="str">
        <x:v>67</x:v>
      </x:c>
    </x:row>
    <x:row r="55" ht="60" customHeight="1">
      <x:c r="A55" s="3" t="n">
        <x:v>254</x:v>
      </x:c>
      <x:c r="B55" s="3" t="n">
        <x:v>128571680</x:v>
      </x:c>
      <x:c r="C55" s="3" t="str">
        <x:v>Immobiliare.it</x:v>
      </x:c>
      <x:c r="D55" s="3" t="str">
        <x:v>Comasina</x:v>
      </x:c>
      <x:c r="E55" s="3" t="str">
        <x:v>via Litta Modignani 114</x:v>
      </x:c>
      <x:c r="F55" s="3" t="str">
        <x:v>https://www.immobiliare.it/annunci/128571680/</x:v>
      </x:c>
      <x:c r="G55" s="3" t="str">
        <x:v>Scheda annuncio</x:v>
      </x:c>
      <x:c r="H55" s="3" t="str">
        <x:v>Controllo duplicati per URL, indirizzo, prezzo e superficie rispetto al campione precedente.</x:v>
      </x:c>
      <x:c r="I55" s="3" t="str">
        <x:v>N/D</x:v>
      </x:c>
      <x:c r="J55" s="3" t="str">
        <x:v>https://www.immobiliare.it/annunci/128571680/</x:v>
      </x:c>
      <x:c r="K55" s="9" t="n">
        <x:v>46270</x:v>
      </x:c>
      <x:c r="L55" s="3" t="str">
        <x:v>Scheda annuncio</x:v>
      </x:c>
      <x:c r="M55" s="3" t="str">
        <x:v>N/D</x:v>
      </x:c>
    </x:row>
    <x:row r="56" ht="60" customHeight="1">
      <x:c r="A56" s="3" t="n">
        <x:v>255</x:v>
      </x:c>
      <x:c r="B56" s="3" t="n">
        <x:v>131963854</x:v>
      </x:c>
      <x:c r="C56" s="3" t="str">
        <x:v>Immobiliare.it</x:v>
      </x:c>
      <x:c r="D56" s="3" t="str">
        <x:v>Duomo</x:v>
      </x:c>
      <x:c r="E56" s="3" t="str">
        <x:v>piazza Filippo Meda</x:v>
      </x:c>
      <x:c r="F56" s="3" t="str">
        <x:v>https://www.immobiliare.it/annunci/131963854/</x:v>
      </x:c>
      <x:c r="G56" s="3" t="str">
        <x:v>Scheda annuncio</x:v>
      </x:c>
      <x:c r="H56" s="3" t="str">
        <x:v>Controllo duplicati per URL, indirizzo, prezzo e superficie rispetto al campione precedente.</x:v>
      </x:c>
      <x:c r="I56" s="3" t="str">
        <x:v>E</x:v>
      </x:c>
      <x:c r="J56" s="3" t="str">
        <x:v>https://www.immobiliare.it/annunci/131963854/</x:v>
      </x:c>
      <x:c r="K56" s="9" t="n">
        <x:v>46270</x:v>
      </x:c>
      <x:c r="L56" s="3" t="str">
        <x:v>Scheda annuncio</x:v>
      </x:c>
      <x:c r="M56" s="3" t="str">
        <x:v>156.36</x:v>
      </x:c>
    </x:row>
    <x:row r="57" ht="60" customHeight="1">
      <x:c r="A57" s="3" t="n">
        <x:v>256</x:v>
      </x:c>
      <x:c r="B57" s="3" t="n">
        <x:v>128836962</x:v>
      </x:c>
      <x:c r="C57" s="3" t="str">
        <x:v>Immobiliare.it</x:v>
      </x:c>
      <x:c r="D57" s="3" t="str">
        <x:v>Duomo</x:v>
      </x:c>
      <x:c r="E57" s="3" t="str">
        <x:v>via Broletto 37</x:v>
      </x:c>
      <x:c r="F57" s="3" t="str">
        <x:v>https://www.immobiliare.it/annunci/128836962/</x:v>
      </x:c>
      <x:c r="G57" s="3" t="str">
        <x:v>Scheda annuncio</x:v>
      </x:c>
      <x:c r="H57" s="3" t="str">
        <x:v>Controllo duplicati per URL, indirizzo, prezzo e superficie rispetto al campione precedente.</x:v>
      </x:c>
      <x:c r="I57" s="3" t="str">
        <x:v>D</x:v>
      </x:c>
      <x:c r="J57" s="3" t="str">
        <x:v>https://www.immobiliare.it/annunci/128836962/</x:v>
      </x:c>
      <x:c r="K57" s="9" t="n">
        <x:v>46270</x:v>
      </x:c>
      <x:c r="L57" s="3" t="str">
        <x:v>Scheda annuncio</x:v>
      </x:c>
      <x:c r="M57" s="3" t="str">
        <x:v>≥ 3,51</x:v>
      </x:c>
    </x:row>
    <x:row r="58" ht="60" customHeight="1">
      <x:c r="A58" s="3" t="n">
        <x:v>257</x:v>
      </x:c>
      <x:c r="B58" s="3" t="n">
        <x:v>131434094</x:v>
      </x:c>
      <x:c r="C58" s="3" t="str">
        <x:v>Immobiliare.it</x:v>
      </x:c>
      <x:c r="D58" s="3" t="str">
        <x:v>Duomo</x:v>
      </x:c>
      <x:c r="E58" s="3" t="str">
        <x:v>via Broletto 39</x:v>
      </x:c>
      <x:c r="F58" s="3" t="str">
        <x:v>https://www.immobiliare.it/annunci/131434094/</x:v>
      </x:c>
      <x:c r="G58" s="3" t="str">
        <x:v>Scheda annuncio</x:v>
      </x:c>
      <x:c r="H58" s="3" t="str">
        <x:v>Controllo duplicati per URL, indirizzo, prezzo e superficie rispetto al campione precedente.</x:v>
      </x:c>
      <x:c r="I58" s="3" t="str">
        <x:v>G</x:v>
      </x:c>
      <x:c r="J58" s="3" t="str">
        <x:v>https://www.immobiliare.it/annunci/131434094/</x:v>
      </x:c>
      <x:c r="K58" s="9" t="n">
        <x:v>46270</x:v>
      </x:c>
      <x:c r="L58" s="3" t="str">
        <x:v>Scheda annuncio</x:v>
      </x:c>
      <x:c r="M58" s="3" t="str">
        <x:v>147</x:v>
      </x:c>
    </x:row>
    <x:row r="59" ht="60" customHeight="1">
      <x:c r="A59" s="3" t="n">
        <x:v>258</x:v>
      </x:c>
      <x:c r="B59" s="3" t="n">
        <x:v>127345273</x:v>
      </x:c>
      <x:c r="C59" s="3" t="str">
        <x:v>Immobiliare.it</x:v>
      </x:c>
      <x:c r="D59" s="3" t="str">
        <x:v>Duomo</x:v>
      </x:c>
      <x:c r="E59" s="3" t="str">
        <x:v>via Broletto 41</x:v>
      </x:c>
      <x:c r="F59" s="3" t="str">
        <x:v>https://www.immobiliare.it/annunci/127345273/</x:v>
      </x:c>
      <x:c r="G59" s="3" t="str">
        <x:v>Scheda annuncio</x:v>
      </x:c>
      <x:c r="H59" s="3" t="str">
        <x:v>Controllo duplicati per URL, indirizzo, prezzo e superficie rispetto al campione precedente.</x:v>
      </x:c>
      <x:c r="I59" s="3" t="str">
        <x:v>E</x:v>
      </x:c>
      <x:c r="J59" s="3" t="str">
        <x:v>https://www.immobiliare.it/annunci/127345273/</x:v>
      </x:c>
      <x:c r="K59" s="9" t="n">
        <x:v>46270</x:v>
      </x:c>
      <x:c r="L59" s="3" t="str">
        <x:v>Scheda annuncio</x:v>
      </x:c>
      <x:c r="M59" s="3" t="str">
        <x:v>243.6</x:v>
      </x:c>
    </x:row>
    <x:row r="60" ht="60" customHeight="1">
      <x:c r="A60" s="3" t="n">
        <x:v>259</x:v>
      </x:c>
      <x:c r="B60" s="3" t="n">
        <x:v>131043486</x:v>
      </x:c>
      <x:c r="C60" s="3" t="str">
        <x:v>Immobiliare.it</x:v>
      </x:c>
      <x:c r="D60" s="3" t="str">
        <x:v>Melchiorre Gioia</x:v>
      </x:c>
      <x:c r="E60" s="3" t="str">
        <x:v>via Luigi Galvani 15</x:v>
      </x:c>
      <x:c r="F60" s="3" t="str">
        <x:v>https://www.immobiliare.it/annunci/131043486/</x:v>
      </x:c>
      <x:c r="G60" s="3" t="str">
        <x:v>Scheda annuncio</x:v>
      </x:c>
      <x:c r="H60" s="3" t="str">
        <x:v>Controllo duplicati per URL, indirizzo, prezzo e superficie rispetto al campione precedente.</x:v>
      </x:c>
      <x:c r="I60" s="3" t="str">
        <x:v>D</x:v>
      </x:c>
      <x:c r="J60" s="3" t="str">
        <x:v>https://www.immobiliare.it/annunci/131043486/</x:v>
      </x:c>
      <x:c r="K60" s="9" t="n">
        <x:v>46270</x:v>
      </x:c>
      <x:c r="L60" s="3" t="str">
        <x:v>Scheda annuncio</x:v>
      </x:c>
      <x:c r="M60" s="3" t="str">
        <x:v>138.73</x:v>
      </x:c>
    </x:row>
    <x:row r="61" ht="60" customHeight="1">
      <x:c r="A61" s="3" t="n">
        <x:v>260</x:v>
      </x:c>
      <x:c r="B61" s="3" t="n">
        <x:v>128922022</x:v>
      </x:c>
      <x:c r="C61" s="3" t="str">
        <x:v>Immobiliare.it</x:v>
      </x:c>
      <x:c r="D61" s="3" t="str">
        <x:v>Moscova</x:v>
      </x:c>
      <x:c r="E61" s="3" t="str">
        <x:v>via Solferino 43</x:v>
      </x:c>
      <x:c r="F61" s="3" t="str">
        <x:v>https://www.immobiliare.it/annunci/128922022/</x:v>
      </x:c>
      <x:c r="G61" s="3" t="str">
        <x:v>Scheda annuncio</x:v>
      </x:c>
      <x:c r="H61" s="3" t="str">
        <x:v>Controllo duplicati per URL, indirizzo, prezzo e superficie rispetto al campione precedente.</x:v>
      </x:c>
      <x:c r="I61" s="3" t="str">
        <x:v>B</x:v>
      </x:c>
      <x:c r="J61" s="3" t="str">
        <x:v>https://www.immobiliare.it/annunci/128922022/</x:v>
      </x:c>
      <x:c r="K61" s="9" t="n">
        <x:v>46270</x:v>
      </x:c>
      <x:c r="L61" s="3" t="str">
        <x:v>Scheda annuncio</x:v>
      </x:c>
      <x:c r="M61" s="3" t="str">
        <x:v>103.8</x:v>
      </x:c>
    </x:row>
    <x:row r="62" ht="60" customHeight="1">
      <x:c r="A62" s="3" t="n">
        <x:v>261</x:v>
      </x:c>
      <x:c r="B62" s="3" t="n">
        <x:v>129949648</x:v>
      </x:c>
      <x:c r="C62" s="3" t="str">
        <x:v>Immobiliare.it</x:v>
      </x:c>
      <x:c r="D62" s="3" t="str">
        <x:v>Moscova</x:v>
      </x:c>
      <x:c r="E62" s="3" t="str">
        <x:v>via Solferino 46</x:v>
      </x:c>
      <x:c r="F62" s="3" t="str">
        <x:v>https://www.immobiliare.it/annunci/129949648/</x:v>
      </x:c>
      <x:c r="G62" s="3" t="str">
        <x:v>Scheda annuncio</x:v>
      </x:c>
      <x:c r="H62" s="3" t="str">
        <x:v>Controllo duplicati per URL, indirizzo, prezzo e superficie rispetto al campione precedente.</x:v>
      </x:c>
      <x:c r="I62" s="3" t="str">
        <x:v>C</x:v>
      </x:c>
      <x:c r="J62" s="3" t="str">
        <x:v>https://www.immobiliare.it/annunci/129949648/</x:v>
      </x:c>
      <x:c r="K62" s="9" t="n">
        <x:v>46270</x:v>
      </x:c>
      <x:c r="L62" s="3" t="str">
        <x:v>Scheda annuncio</x:v>
      </x:c>
      <x:c r="M62" s="3" t="str">
        <x:v>101280</x:v>
      </x:c>
    </x:row>
    <x:row r="63" ht="60" customHeight="1">
      <x:c r="A63" s="3" t="n">
        <x:v>262</x:v>
      </x:c>
      <x:c r="B63" s="3" t="n">
        <x:v>130712022</x:v>
      </x:c>
      <x:c r="C63" s="3" t="str">
        <x:v>Immobiliare.it</x:v>
      </x:c>
      <x:c r="D63" s="3" t="str">
        <x:v>Moscova</x:v>
      </x:c>
      <x:c r="E63" s="3" t="str">
        <x:v>via Solferino 56</x:v>
      </x:c>
      <x:c r="F63" s="3" t="str">
        <x:v>https://www.immobiliare.it/annunci/130712022/</x:v>
      </x:c>
      <x:c r="G63" s="3" t="str">
        <x:v>Scheda annuncio</x:v>
      </x:c>
      <x:c r="H63" s="3" t="str">
        <x:v>Controllo duplicati per URL, indirizzo, prezzo e superficie rispetto al campione precedente.</x:v>
      </x:c>
      <x:c r="I63" s="3" t="str">
        <x:v>D</x:v>
      </x:c>
      <x:c r="J63" s="3" t="str">
        <x:v>https://www.immobiliare.it/annunci/130712022/</x:v>
      </x:c>
      <x:c r="K63" s="9" t="n">
        <x:v>46270</x:v>
      </x:c>
      <x:c r="L63" s="3" t="str">
        <x:v>Scheda annuncio</x:v>
      </x:c>
      <x:c r="M63" s="3" t="str">
        <x:v>113.72</x:v>
      </x:c>
    </x:row>
    <x:row r="64" ht="60" customHeight="1">
      <x:c r="A64" s="3" t="n">
        <x:v>263</x:v>
      </x:c>
      <x:c r="B64" s="3" t="n">
        <x:v>129948392</x:v>
      </x:c>
      <x:c r="C64" s="3" t="str">
        <x:v>Immobiliare.it</x:v>
      </x:c>
      <x:c r="D64" s="3" t="str">
        <x:v>Moscova</x:v>
      </x:c>
      <x:c r="E64" s="3" t="str">
        <x:v>via Solferino, 23</x:v>
      </x:c>
      <x:c r="F64" s="3" t="str">
        <x:v>https://www.immobiliare.it/annunci/129948392/</x:v>
      </x:c>
      <x:c r="G64" s="3" t="str">
        <x:v>Scheda annuncio</x:v>
      </x:c>
      <x:c r="H64" s="3" t="str">
        <x:v>Controllo duplicati per URL, indirizzo, prezzo e superficie rispetto al campione precedente.</x:v>
      </x:c>
      <x:c r="I64" s="3" t="str">
        <x:v>B</x:v>
      </x:c>
      <x:c r="J64" s="3" t="str">
        <x:v>https://www.immobiliare.it/annunci/129948392/</x:v>
      </x:c>
      <x:c r="K64" s="9" t="n">
        <x:v>46270</x:v>
      </x:c>
      <x:c r="L64" s="3" t="str">
        <x:v>Scheda annuncio</x:v>
      </x:c>
      <x:c r="M64" s="3" t="str">
        <x:v>92.61</x:v>
      </x:c>
    </x:row>
    <x:row r="65" ht="60" customHeight="1">
      <x:c r="A65" s="3" t="n">
        <x:v>264</x:v>
      </x:c>
      <x:c r="B65" s="3" t="n">
        <x:v>130177600</x:v>
      </x:c>
      <x:c r="C65" s="3" t="str">
        <x:v>Immobiliare.it</x:v>
      </x:c>
      <x:c r="D65" s="3" t="str">
        <x:v>Porta Venezia</x:v>
      </x:c>
      <x:c r="E65" s="3" t="str">
        <x:v>via Alessandro Tadino 2</x:v>
      </x:c>
      <x:c r="F65" s="3" t="str">
        <x:v>https://www.immobiliare.it/annunci/130177600/</x:v>
      </x:c>
      <x:c r="G65" s="3" t="str">
        <x:v>Scheda annuncio</x:v>
      </x:c>
      <x:c r="H65" s="3" t="str">
        <x:v>Controllo duplicati per URL, indirizzo, prezzo e superficie rispetto al campione precedente.</x:v>
      </x:c>
      <x:c r="I65" s="3" t="str">
        <x:v>G</x:v>
      </x:c>
      <x:c r="J65" s="3" t="str">
        <x:v>https://www.immobiliare.it/annunci/130177600/</x:v>
      </x:c>
      <x:c r="K65" s="9" t="n">
        <x:v>46270</x:v>
      </x:c>
      <x:c r="L65" s="3" t="str">
        <x:v>Scheda annuncio</x:v>
      </x:c>
      <x:c r="M65" s="3" t="str">
        <x:v>740.4</x:v>
      </x:c>
    </x:row>
    <x:row r="66" ht="60" customHeight="1">
      <x:c r="A66" s="3" t="n">
        <x:v>265</x:v>
      </x:c>
      <x:c r="B66" s="3" t="n">
        <x:v>131201168</x:v>
      </x:c>
      <x:c r="C66" s="3" t="str">
        <x:v>Immobiliare.it</x:v>
      </x:c>
      <x:c r="D66" s="3" t="str">
        <x:v>Porta Venezia</x:v>
      </x:c>
      <x:c r="E66" s="3" t="str">
        <x:v>via Rosolino Pilo 12</x:v>
      </x:c>
      <x:c r="F66" s="3" t="str">
        <x:v>https://www.immobiliare.it/annunci/131201168/</x:v>
      </x:c>
      <x:c r="G66" s="3" t="str">
        <x:v>Scheda annuncio</x:v>
      </x:c>
      <x:c r="H66" s="3" t="str">
        <x:v>Controllo duplicati per URL, indirizzo, prezzo e superficie rispetto al campione precedente.</x:v>
      </x:c>
      <x:c r="I66" s="3" t="str">
        <x:v>F</x:v>
      </x:c>
      <x:c r="J66" s="3" t="str">
        <x:v>https://www.immobiliare.it/annunci/131201168/</x:v>
      </x:c>
      <x:c r="K66" s="9" t="n">
        <x:v>46270</x:v>
      </x:c>
      <x:c r="L66" s="3" t="str">
        <x:v>Scheda annuncio</x:v>
      </x:c>
      <x:c r="M66" s="3" t="str">
        <x:v>≥ 175</x:v>
      </x:c>
    </x:row>
    <x:row r="67" ht="60" customHeight="1">
      <x:c r="A67" s="3" t="n">
        <x:v>266</x:v>
      </x:c>
      <x:c r="B67" s="3" t="n">
        <x:v>130814158</x:v>
      </x:c>
      <x:c r="C67" s="3" t="str">
        <x:v>Immobiliare.it</x:v>
      </x:c>
      <x:c r="D67" s="3" t="str">
        <x:v>Porta Venezia</x:v>
      </x:c>
      <x:c r="E67" s="3" t="str">
        <x:v>viale Tunisia 25</x:v>
      </x:c>
      <x:c r="F67" s="3" t="str">
        <x:v>https://www.immobiliare.it/annunci/130814158/</x:v>
      </x:c>
      <x:c r="G67" s="3" t="str">
        <x:v>Scheda annuncio</x:v>
      </x:c>
      <x:c r="H67" s="3" t="str">
        <x:v>Controllo duplicati per URL, indirizzo, prezzo e superficie rispetto al campione precedente.</x:v>
      </x:c>
      <x:c r="I67" s="3" t="str">
        <x:v>F</x:v>
      </x:c>
      <x:c r="J67" s="3" t="str">
        <x:v>https://www.immobiliare.it/annunci/130814158/</x:v>
      </x:c>
      <x:c r="K67" s="9" t="n">
        <x:v>46270</x:v>
      </x:c>
      <x:c r="L67" s="3" t="str">
        <x:v>Scheda annuncio</x:v>
      </x:c>
      <x:c r="M67" s="3" t="str">
        <x:v>135.41</x:v>
      </x:c>
    </x:row>
    <x:row r="68" ht="60" customHeight="1">
      <x:c r="A68" s="3" t="n">
        <x:v>267</x:v>
      </x:c>
      <x:c r="B68" s="3" t="n">
        <x:v>130446552</x:v>
      </x:c>
      <x:c r="C68" s="3" t="str">
        <x:v>Immobiliare.it</x:v>
      </x:c>
      <x:c r="D68" s="3" t="str">
        <x:v>Quadronno - Crocetta</x:v>
      </x:c>
      <x:c r="E68" s="3" t="str">
        <x:v>via Curtatone, 16</x:v>
      </x:c>
      <x:c r="F68" s="3" t="str">
        <x:v>https://www.immobiliare.it/annunci/130446552/</x:v>
      </x:c>
      <x:c r="G68" s="3" t="str">
        <x:v>Scheda annuncio</x:v>
      </x:c>
      <x:c r="H68" s="3" t="str">
        <x:v>Controllo duplicati per URL, indirizzo, prezzo e superficie rispetto al campione precedente.</x:v>
      </x:c>
      <x:c r="I68" s="3" t="str">
        <x:v>D</x:v>
      </x:c>
      <x:c r="J68" s="3" t="str">
        <x:v>https://www.immobiliare.it/annunci/130446552/</x:v>
      </x:c>
      <x:c r="K68" s="9" t="n">
        <x:v>46270</x:v>
      </x:c>
      <x:c r="L68" s="3" t="str">
        <x:v>Scheda annuncio</x:v>
      </x:c>
      <x:c r="M68" s="3" t="str">
        <x:v>345.27</x:v>
      </x:c>
    </x:row>
    <x:row r="69" ht="60" customHeight="1">
      <x:c r="A69" s="3" t="n">
        <x:v>268</x:v>
      </x:c>
      <x:c r="B69" s="3" t="n">
        <x:v>124796439</x:v>
      </x:c>
      <x:c r="C69" s="3" t="str">
        <x:v>Immobiliare.it</x:v>
      </x:c>
      <x:c r="D69" s="3" t="str">
        <x:v>Quadronno - Crocetta</x:v>
      </x:c>
      <x:c r="E69" s="3" t="str">
        <x:v>viale Emilio Caldara 31</x:v>
      </x:c>
      <x:c r="F69" s="3" t="str">
        <x:v>https://www.immobiliare.it/annunci/124796439/</x:v>
      </x:c>
      <x:c r="G69" s="3" t="str">
        <x:v>Scheda annuncio</x:v>
      </x:c>
      <x:c r="H69" s="3" t="str">
        <x:v>Controllo duplicati per URL, indirizzo, prezzo e superficie rispetto al campione precedente.</x:v>
      </x:c>
      <x:c r="I69" s="3" t="str">
        <x:v>E</x:v>
      </x:c>
      <x:c r="J69" s="3" t="str">
        <x:v>https://www.immobiliare.it/annunci/124796439/</x:v>
      </x:c>
      <x:c r="K69" s="9" t="n">
        <x:v>46270</x:v>
      </x:c>
      <x:c r="L69" s="3" t="str">
        <x:v>Scheda annuncio</x:v>
      </x:c>
      <x:c r="M69" s="3" t="str">
        <x:v>3.51</x:v>
      </x:c>
    </x:row>
    <x:row r="70" ht="60" customHeight="1">
      <x:c r="A70" s="3" t="n">
        <x:v>269</x:v>
      </x:c>
      <x:c r="B70" s="3" t="n">
        <x:v>127931704</x:v>
      </x:c>
      <x:c r="C70" s="3" t="str">
        <x:v>Immobiliare.it</x:v>
      </x:c>
      <x:c r="D70" s="3" t="str">
        <x:v>Turati</x:v>
      </x:c>
      <x:c r="E70" s="3" t="str">
        <x:v>via Ancona</x:v>
      </x:c>
      <x:c r="F70" s="3" t="str">
        <x:v>https://www.immobiliare.it/annunci/127931704/</x:v>
      </x:c>
      <x:c r="G70" s="3" t="str">
        <x:v>Scheda annuncio</x:v>
      </x:c>
      <x:c r="H70" s="3" t="str">
        <x:v>Controllo duplicati per URL, indirizzo, prezzo e superficie rispetto al campione precedente.</x:v>
      </x:c>
      <x:c r="I70" s="3" t="str">
        <x:v>A</x:v>
      </x:c>
      <x:c r="J70" s="3" t="str">
        <x:v>https://www.immobiliare.it/annunci/127931704/</x:v>
      </x:c>
      <x:c r="K70" s="9" t="n">
        <x:v>46270</x:v>
      </x:c>
      <x:c r="L70" s="3" t="str">
        <x:v>Scheda annuncio</x:v>
      </x:c>
      <x:c r="M70" s="3" t="str">
        <x:v>≥ 175</x:v>
      </x:c>
    </x:row>
    <x:row r="71" ht="60" customHeight="1">
      <x:c r="A71" s="3" t="n">
        <x:v>270</x:v>
      </x:c>
      <x:c r="B71" s="3" t="n">
        <x:v>130190656</x:v>
      </x:c>
      <x:c r="C71" s="3" t="str">
        <x:v>Immobiliare.it</x:v>
      </x:c>
      <x:c r="D71" s="3" t="str">
        <x:v>Turati</x:v>
      </x:c>
      <x:c r="E71" s="3" t="str">
        <x:v>via Solferino 12</x:v>
      </x:c>
      <x:c r="F71" s="3" t="str">
        <x:v>https://www.immobiliare.it/annunci/130190656/</x:v>
      </x:c>
      <x:c r="G71" s="3" t="str">
        <x:v>Scheda annuncio</x:v>
      </x:c>
      <x:c r="H71" s="3" t="str">
        <x:v>Controllo duplicati per URL, indirizzo, prezzo e superficie rispetto al campione precedente.</x:v>
      </x:c>
      <x:c r="I71" s="3" t="str">
        <x:v>G</x:v>
      </x:c>
      <x:c r="J71" s="3" t="str">
        <x:v>https://www.immobiliare.it/annunci/130190656/</x:v>
      </x:c>
      <x:c r="K71" s="9" t="n">
        <x:v>46270</x:v>
      </x:c>
      <x:c r="L71" s="3" t="str">
        <x:v>Scheda annuncio</x:v>
      </x:c>
      <x:c r="M71" s="3" t="str">
        <x:v>222.25</x:v>
      </x:c>
    </x:row>
    <x:row r="72" ht="60" customHeight="1">
      <x:c r="A72" s="3" t="n">
        <x:v>271</x:v>
      </x:c>
      <x:c r="B72" s="3" t="n">
        <x:v>36646950</x:v>
      </x:c>
      <x:c r="C72" s="3" t="str">
        <x:v>Idealista</x:v>
      </x:c>
      <x:c r="D72" s="3" t="str">
        <x:v>Isola</x:v>
      </x:c>
      <x:c r="E72" s="3" t="str">
        <x:v>Via Carlo Farini, 69</x:v>
      </x:c>
      <x:c r="F72" s="3" t="str">
        <x:v>https://www.idealista.it/immobile/36646950/</x:v>
      </x:c>
      <x:c r="G72" s="3" t="str">
        <x:v>Scheda annuncio</x:v>
      </x:c>
      <x:c r="H72" s="3" t="str">
        <x:v>Controllo duplicati per URL, indirizzo, prezzo e superficie rispetto al campione precedente.</x:v>
      </x:c>
      <x:c r="I72" s="3" t="str">
        <x:v>D</x:v>
      </x:c>
      <x:c r="J72" s="3" t="str">
        <x:v>https://www.idealista.it/immobile/36646950/</x:v>
      </x:c>
      <x:c r="K72" s="9" t="n">
        <x:v>46270</x:v>
      </x:c>
      <x:c r="L72" s="3" t="str">
        <x:v>Scheda annuncio</x:v>
      </x:c>
      <x:c r="M72" s="3" t="str">
        <x:v>131,35</x:v>
      </x:c>
    </x:row>
    <x:row r="73" ht="60" customHeight="1">
      <x:c r="A73" s="3" t="n">
        <x:v>272</x:v>
      </x:c>
      <x:c r="B73" s="3" t="n">
        <x:v>36394617</x:v>
      </x:c>
      <x:c r="C73" s="3" t="str">
        <x:v>Idealista</x:v>
      </x:c>
      <x:c r="D73" s="3" t="str">
        <x:v>Isola</x:v>
      </x:c>
      <x:c r="E73" s="3" t="str">
        <x:v>Via Giulio Belinzaghi, 6</x:v>
      </x:c>
      <x:c r="F73" s="3" t="str">
        <x:v>https://www.idealista.it/immobile/36394617/</x:v>
      </x:c>
      <x:c r="G73" s="3" t="str">
        <x:v>Scheda annuncio</x:v>
      </x:c>
      <x:c r="H73" s="3" t="str">
        <x:v>Controllo duplicati per URL, indirizzo, prezzo e superficie rispetto al campione precedente.</x:v>
      </x:c>
      <x:c r="I73" s="3" t="str">
        <x:v>N/D</x:v>
      </x:c>
      <x:c r="J73" s="3" t="str">
        <x:v>https://www.idealista.it/immobile/36394617/</x:v>
      </x:c>
      <x:c r="K73" s="9" t="n">
        <x:v>46270</x:v>
      </x:c>
      <x:c r="L73" s="3" t="str">
        <x:v>Scheda annuncio</x:v>
      </x:c>
      <x:c r="M73" s="3" t="str">
        <x:v>188</x:v>
      </x:c>
    </x:row>
    <x:row r="74" ht="60" customHeight="1">
      <x:c r="A74" s="3" t="n">
        <x:v>273</x:v>
      </x:c>
      <x:c r="B74" s="3" t="n">
        <x:v>128652148</x:v>
      </x:c>
      <x:c r="C74" s="3" t="str">
        <x:v>Immobiliare.it</x:v>
      </x:c>
      <x:c r="D74" s="3" t="str">
        <x:v>Porta Romana - Medaglie d'Oro</x:v>
      </x:c>
      <x:c r="E74" s="3" t="str">
        <x:v>via Atto Vannucci 7</x:v>
      </x:c>
      <x:c r="F74" s="3" t="str">
        <x:v>https://www.immobiliare.it/annunci/128652148/</x:v>
      </x:c>
      <x:c r="G74" s="3" t="str">
        <x:v>Scheda annuncio</x:v>
      </x:c>
      <x:c r="H74" s="3" t="str">
        <x:v>Controllo duplicati per URL, indirizzo, prezzo e superficie rispetto al campione precedente.</x:v>
      </x:c>
      <x:c r="I74" s="3" t="str">
        <x:v>F</x:v>
      </x:c>
      <x:c r="J74" s="3" t="str">
        <x:v>https://www.immobiliare.it/annunci/128652148/</x:v>
      </x:c>
      <x:c r="K74" s="9" t="n">
        <x:v>46270</x:v>
      </x:c>
      <x:c r="L74" s="3" t="str">
        <x:v>Scheda annuncio</x:v>
      </x:c>
      <x:c r="M74" s="3" t="str">
        <x:v>≥ 175</x:v>
      </x:c>
    </x:row>
    <x:row r="75" ht="60" customHeight="1">
      <x:c r="A75" s="3" t="n">
        <x:v>274</x:v>
      </x:c>
      <x:c r="B75" s="3" t="n">
        <x:v>132116986</x:v>
      </x:c>
      <x:c r="C75" s="3" t="str">
        <x:v>Immobiliare.it</x:v>
      </x:c>
      <x:c r="D75" s="3" t="str">
        <x:v>Porta Romana - Medaglie d'Oro</x:v>
      </x:c>
      <x:c r="E75" s="3" t="str">
        <x:v>via Lazzaro Papi 12</x:v>
      </x:c>
      <x:c r="F75" s="3" t="str">
        <x:v>https://www.immobiliare.it/annunci/132116986/</x:v>
      </x:c>
      <x:c r="G75" s="3" t="str">
        <x:v>Scheda annuncio</x:v>
      </x:c>
      <x:c r="H75" s="3" t="str">
        <x:v>Controllo duplicati per URL, indirizzo, prezzo e superficie rispetto al campione precedente.</x:v>
      </x:c>
      <x:c r="I75" s="3" t="str">
        <x:v>D</x:v>
      </x:c>
      <x:c r="J75" s="3" t="str">
        <x:v>https://www.immobiliare.it/annunci/132116986/</x:v>
      </x:c>
      <x:c r="K75" s="9" t="n">
        <x:v>46270</x:v>
      </x:c>
      <x:c r="L75" s="3" t="str">
        <x:v>Scheda annuncio</x:v>
      </x:c>
      <x:c r="M75" s="3" t="str">
        <x:v>117.23</x:v>
      </x:c>
    </x:row>
    <x:row r="76" ht="60" customHeight="1">
      <x:c r="A76" s="3" t="n">
        <x:v>275</x:v>
      </x:c>
      <x:c r="B76" s="3" t="n">
        <x:v>130846890</x:v>
      </x:c>
      <x:c r="C76" s="3" t="str">
        <x:v>Immobiliare.it</x:v>
      </x:c>
      <x:c r="D76" s="3" t="str">
        <x:v>Porta Romana - Medaglie d'Oro</x:v>
      </x:c>
      <x:c r="E76" s="3" t="str">
        <x:v>via Lodovico Muratori 11</x:v>
      </x:c>
      <x:c r="F76" s="3" t="str">
        <x:v>https://www.immobiliare.it/annunci/130846890/</x:v>
      </x:c>
      <x:c r="G76" s="3" t="str">
        <x:v>Scheda annuncio</x:v>
      </x:c>
      <x:c r="H76" s="3" t="str">
        <x:v>Controllo duplicati per URL, indirizzo, prezzo e superficie rispetto al campione precedente.</x:v>
      </x:c>
      <x:c r="I76" s="3" t="str">
        <x:v>G</x:v>
      </x:c>
      <x:c r="J76" s="3" t="str">
        <x:v>https://www.immobiliare.it/annunci/130846890/</x:v>
      </x:c>
      <x:c r="K76" s="9" t="n">
        <x:v>46270</x:v>
      </x:c>
      <x:c r="L76" s="3" t="str">
        <x:v>Scheda annuncio</x:v>
      </x:c>
      <x:c r="M76" s="3" t="str">
        <x:v>≥ 3,51</x:v>
      </x:c>
    </x:row>
    <x:row r="77" ht="60" customHeight="1">
      <x:c r="A77" s="3" t="n">
        <x:v>276</x:v>
      </x:c>
      <x:c r="B77" s="3" t="n">
        <x:v>24742163</x:v>
      </x:c>
      <x:c r="C77" s="3" t="str">
        <x:v>Idealista</x:v>
      </x:c>
      <x:c r="D77" s="3" t="str">
        <x:v>Lambrate</x:v>
      </x:c>
      <x:c r="E77" s="3" t="str">
        <x:v>Via Egidio Folli, 27</x:v>
      </x:c>
      <x:c r="F77" s="3" t="str">
        <x:v>https://www.idealista.it/immobile/24742163/</x:v>
      </x:c>
      <x:c r="G77" s="3" t="str">
        <x:v>Scheda annuncio</x:v>
      </x:c>
      <x:c r="H77" s="3" t="str">
        <x:v>Controllo duplicati per URL, indirizzo, prezzo e superficie rispetto al campione precedente.</x:v>
      </x:c>
      <x:c r="I77" s="3" t="str">
        <x:v>N/D</x:v>
      </x:c>
      <x:c r="J77" s="3" t="str">
        <x:v>https://www.idealista.it/immobile/24742163/</x:v>
      </x:c>
      <x:c r="K77" s="9" t="n">
        <x:v>46270</x:v>
      </x:c>
      <x:c r="L77" s="3" t="str">
        <x:v>Scheda annuncio</x:v>
      </x:c>
      <x:c r="M77" s="3" t="str">
        <x:v>N/D</x:v>
      </x:c>
    </x:row>
    <x:row r="78" ht="60" customHeight="1">
      <x:c r="A78" s="3" t="n">
        <x:v>277</x:v>
      </x:c>
      <x:c r="B78" s="3" t="n">
        <x:v>129473320</x:v>
      </x:c>
      <x:c r="C78" s="3" t="str">
        <x:v>Immobiliare.it</x:v>
      </x:c>
      <x:c r="D78" s="3" t="str">
        <x:v>Lambrate</x:v>
      </x:c>
      <x:c r="E78" s="3" t="str">
        <x:v>via Bertolazzi 6</x:v>
      </x:c>
      <x:c r="F78" s="3" t="str">
        <x:v>https://www.immobiliare.it/annunci/129473320/</x:v>
      </x:c>
      <x:c r="G78" s="3" t="str">
        <x:v>Scheda annuncio</x:v>
      </x:c>
      <x:c r="H78" s="3" t="str">
        <x:v>Controllo duplicati per URL, indirizzo, prezzo e superficie rispetto al campione precedente.</x:v>
      </x:c>
      <x:c r="I78" s="3" t="str">
        <x:v>F</x:v>
      </x:c>
      <x:c r="J78" s="3" t="str">
        <x:v>https://www.immobiliare.it/annunci/129473320/</x:v>
      </x:c>
      <x:c r="K78" s="9" t="n">
        <x:v>46270</x:v>
      </x:c>
      <x:c r="L78" s="3" t="str">
        <x:v>Scheda annuncio</x:v>
      </x:c>
      <x:c r="M78" s="3" t="str">
        <x:v>231.44</x:v>
      </x:c>
    </x:row>
    <x:row r="79" ht="60" customHeight="1">
      <x:c r="A79" s="3" t="n">
        <x:v>278</x:v>
      </x:c>
      <x:c r="B79" s="3" t="n">
        <x:v>115873703</x:v>
      </x:c>
      <x:c r="C79" s="3" t="str">
        <x:v>Immobiliare.it</x:v>
      </x:c>
      <x:c r="D79" s="3" t="str">
        <x:v>Lambrate</x:v>
      </x:c>
      <x:c r="E79" s="3" t="str">
        <x:v>via Giovanni Ventura 3</x:v>
      </x:c>
      <x:c r="F79" s="3" t="str">
        <x:v>https://www.immobiliare.it/annunci/115873703/</x:v>
      </x:c>
      <x:c r="G79" s="3" t="str">
        <x:v>Scheda annuncio</x:v>
      </x:c>
      <x:c r="H79" s="3" t="str">
        <x:v>Controllo duplicati per URL, indirizzo, prezzo e superficie rispetto al campione precedente.</x:v>
      </x:c>
      <x:c r="I79" s="3" t="str">
        <x:v>B</x:v>
      </x:c>
      <x:c r="J79" s="3" t="str">
        <x:v>https://www.immobiliare.it/annunci/115873703/</x:v>
      </x:c>
      <x:c r="K79" s="9" t="n">
        <x:v>46270</x:v>
      </x:c>
      <x:c r="L79" s="3" t="str">
        <x:v>Scheda annuncio</x:v>
      </x:c>
      <x:c r="M79" s="3" t="str">
        <x:v>172.94</x:v>
      </x:c>
    </x:row>
    <x:row r="80" ht="60" customHeight="1">
      <x:c r="A80" s="3" t="n">
        <x:v>279</x:v>
      </x:c>
      <x:c r="B80" s="3" t="n">
        <x:v>129955490</x:v>
      </x:c>
      <x:c r="C80" s="3" t="str">
        <x:v>Immobiliare.it</x:v>
      </x:c>
      <x:c r="D80" s="3" t="str">
        <x:v>Lambrate</x:v>
      </x:c>
      <x:c r="E80" s="3" t="str">
        <x:v>via Luigi Borgomainerio 30</x:v>
      </x:c>
      <x:c r="F80" s="3" t="str">
        <x:v>https://www.immobiliare.it/annunci/129955490/</x:v>
      </x:c>
      <x:c r="G80" s="3" t="str">
        <x:v>Scheda annuncio</x:v>
      </x:c>
      <x:c r="H80" s="3" t="str">
        <x:v>Controllo duplicati per URL, indirizzo, prezzo e superficie rispetto al campione precedente.</x:v>
      </x:c>
      <x:c r="I80" s="3" t="str">
        <x:v>F</x:v>
      </x:c>
      <x:c r="J80" s="3" t="str">
        <x:v>https://www.immobiliare.it/annunci/129955490/</x:v>
      </x:c>
      <x:c r="K80" s="9" t="n">
        <x:v>46270</x:v>
      </x:c>
      <x:c r="L80" s="3" t="str">
        <x:v>Scheda annuncio</x:v>
      </x:c>
      <x:c r="M80" s="3" t="str">
        <x:v>≥ 175</x:v>
      </x:c>
    </x:row>
    <x:row r="81" ht="60" customHeight="1">
      <x:c r="A81" s="3" t="n">
        <x:v>280</x:v>
      </x:c>
      <x:c r="B81" s="3" t="n">
        <x:v>131464718</x:v>
      </x:c>
      <x:c r="C81" s="3" t="str">
        <x:v>Immobiliare.it</x:v>
      </x:c>
      <x:c r="D81" s="3" t="str">
        <x:v>Lambrate</x:v>
      </x:c>
      <x:c r="E81" s="3" t="str">
        <x:v>via Rombon 38</x:v>
      </x:c>
      <x:c r="F81" s="3" t="str">
        <x:v>https://www.immobiliare.it/annunci/131464718/</x:v>
      </x:c>
      <x:c r="G81" s="3" t="str">
        <x:v>Scheda annuncio</x:v>
      </x:c>
      <x:c r="H81" s="3" t="str">
        <x:v>Controllo duplicati per URL, indirizzo, prezzo e superficie rispetto al campione precedente.</x:v>
      </x:c>
      <x:c r="I81" s="3" t="str">
        <x:v>F</x:v>
      </x:c>
      <x:c r="J81" s="3" t="str">
        <x:v>https://www.immobiliare.it/annunci/131464718/</x:v>
      </x:c>
      <x:c r="K81" s="9" t="n">
        <x:v>46270</x:v>
      </x:c>
      <x:c r="L81" s="3" t="str">
        <x:v>Scheda annuncio</x:v>
      </x:c>
      <x:c r="M81" s="3" t="str">
        <x:v>220.36</x:v>
      </x:c>
    </x:row>
    <x:row r="82" ht="60" customHeight="1">
      <x:c r="A82" s="3" t="n">
        <x:v>281</x:v>
      </x:c>
      <x:c r="B82" s="3" t="n">
        <x:v>98204350</x:v>
      </x:c>
      <x:c r="C82" s="3" t="str">
        <x:v>Immobiliare.it</x:v>
      </x:c>
      <x:c r="D82" s="3" t="str">
        <x:v>Quartiere Feltre</x:v>
      </x:c>
      <x:c r="E82" s="3" t="str">
        <x:v>via Maniago 2</x:v>
      </x:c>
      <x:c r="F82" s="3" t="str">
        <x:v>https://www.immobiliare.it/annunci/98204350/</x:v>
      </x:c>
      <x:c r="G82" s="3" t="str">
        <x:v>Scheda annuncio</x:v>
      </x:c>
      <x:c r="H82" s="3" t="str">
        <x:v>Controllo duplicati per URL, indirizzo, prezzo e superficie rispetto al campione precedente.</x:v>
      </x:c>
      <x:c r="I82" s="3" t="str">
        <x:v>F</x:v>
      </x:c>
      <x:c r="J82" s="3" t="str">
        <x:v>https://www.immobiliare.it/annunci/98204350/</x:v>
      </x:c>
      <x:c r="K82" s="9" t="n">
        <x:v>46270</x:v>
      </x:c>
      <x:c r="L82" s="3" t="str">
        <x:v>Scheda annuncio</x:v>
      </x:c>
      <x:c r="M82" s="3" t="str">
        <x:v>136</x:v>
      </x:c>
    </x:row>
    <x:row r="83" ht="60" customHeight="1">
      <x:c r="A83" s="3" t="n">
        <x:v>282</x:v>
      </x:c>
      <x:c r="B83" s="3" t="n">
        <x:v>131368822</x:v>
      </x:c>
      <x:c r="C83" s="3" t="str">
        <x:v>Immobiliare.it</x:v>
      </x:c>
      <x:c r="D83" s="3" t="str">
        <x:v>Quartiere Feltre</x:v>
      </x:c>
      <x:c r="E83" s="3" t="str">
        <x:v>via Ponte di Legno 2</x:v>
      </x:c>
      <x:c r="F83" s="3" t="str">
        <x:v>https://www.immobiliare.it/annunci/131368822/</x:v>
      </x:c>
      <x:c r="G83" s="3" t="str">
        <x:v>Scheda annuncio</x:v>
      </x:c>
      <x:c r="H83" s="3" t="str">
        <x:v>Controllo duplicati per URL, indirizzo, prezzo e superficie rispetto al campione precedente.</x:v>
      </x:c>
      <x:c r="I83" s="3" t="str">
        <x:v>N/D</x:v>
      </x:c>
      <x:c r="J83" s="3" t="str">
        <x:v>https://www.immobiliare.it/annunci/131368822/</x:v>
      </x:c>
      <x:c r="K83" s="9" t="n">
        <x:v>46270</x:v>
      </x:c>
      <x:c r="L83" s="3" t="str">
        <x:v>Scheda annuncio</x:v>
      </x:c>
      <x:c r="M83" s="3" t="str">
        <x:v>N/D</x:v>
      </x:c>
    </x:row>
    <x:row r="84" ht="60" customHeight="1">
      <x:c r="A84" s="3" t="n">
        <x:v>283</x:v>
      </x:c>
      <x:c r="B84" s="3" t="n">
        <x:v>103840995</x:v>
      </x:c>
      <x:c r="C84" s="3" t="str">
        <x:v>Immobiliare.it</x:v>
      </x:c>
      <x:c r="D84" s="3" t="str">
        <x:v>Quartiere Feltre</x:v>
      </x:c>
      <x:c r="E84" s="3" t="str">
        <x:v>via Rombon 29</x:v>
      </x:c>
      <x:c r="F84" s="3" t="str">
        <x:v>https://www.immobiliare.it/annunci/103840995/</x:v>
      </x:c>
      <x:c r="G84" s="3" t="str">
        <x:v>Scheda annuncio</x:v>
      </x:c>
      <x:c r="H84" s="3" t="str">
        <x:v>Controllo duplicati per URL, indirizzo, prezzo e superficie rispetto al campione precedente.</x:v>
      </x:c>
      <x:c r="I84" s="3" t="str">
        <x:v>E</x:v>
      </x:c>
      <x:c r="J84" s="3" t="str">
        <x:v>https://www.immobiliare.it/annunci/103840995/</x:v>
      </x:c>
      <x:c r="K84" s="9" t="n">
        <x:v>46270</x:v>
      </x:c>
      <x:c r="L84" s="3" t="str">
        <x:v>Scheda annuncio</x:v>
      </x:c>
      <x:c r="M84" s="3" t="str">
        <x:v>107.66</x:v>
      </x:c>
    </x:row>
    <x:row r="85" ht="60" customHeight="1">
      <x:c r="A85" s="3" t="n">
        <x:v>284</x:v>
      </x:c>
      <x:c r="B85" s="3" t="n">
        <x:v>127238461</x:v>
      </x:c>
      <x:c r="C85" s="3" t="str">
        <x:v>Immobiliare.it</x:v>
      </x:c>
      <x:c r="D85" s="3" t="str">
        <x:v>Bicocca</x:v>
      </x:c>
      <x:c r="E85" s="3" t="str">
        <x:v>piazza della Trivulziana 1</x:v>
      </x:c>
      <x:c r="F85" s="3" t="str">
        <x:v>https://www.immobiliare.it/annunci/127238461/</x:v>
      </x:c>
      <x:c r="G85" s="3" t="str">
        <x:v>Scheda annuncio</x:v>
      </x:c>
      <x:c r="H85" s="3" t="str">
        <x:v>Controllo duplicati per URL, indirizzo, prezzo e superficie rispetto al campione precedente.</x:v>
      </x:c>
      <x:c r="I85" s="3" t="str">
        <x:v>C</x:v>
      </x:c>
      <x:c r="J85" s="3" t="str">
        <x:v>https://www.immobiliare.it/annunci/127238461/</x:v>
      </x:c>
      <x:c r="K85" s="9" t="n">
        <x:v>46270</x:v>
      </x:c>
      <x:c r="L85" s="3" t="str">
        <x:v>Scheda annuncio</x:v>
      </x:c>
      <x:c r="M85" s="3" t="str">
        <x:v>73.68</x:v>
      </x:c>
    </x:row>
    <x:row r="86" ht="60" customHeight="1">
      <x:c r="A86" s="3" t="n">
        <x:v>285</x:v>
      </x:c>
      <x:c r="B86" s="3" t="n">
        <x:v>129779052</x:v>
      </x:c>
      <x:c r="C86" s="3" t="str">
        <x:v>Immobiliare.it</x:v>
      </x:c>
      <x:c r="D86" s="3" t="str">
        <x:v>Bicocca</x:v>
      </x:c>
      <x:c r="E86" s="3" t="str">
        <x:v>piazza della Trivulziana 2</x:v>
      </x:c>
      <x:c r="F86" s="3" t="str">
        <x:v>https://www.immobiliare.it/annunci/129779052/</x:v>
      </x:c>
      <x:c r="G86" s="3" t="str">
        <x:v>Scheda annuncio</x:v>
      </x:c>
      <x:c r="H86" s="3" t="str">
        <x:v>Controllo duplicati per URL, indirizzo, prezzo e superficie rispetto al campione precedente.</x:v>
      </x:c>
      <x:c r="I86" s="3" t="str">
        <x:v>D</x:v>
      </x:c>
      <x:c r="J86" s="3" t="str">
        <x:v>https://www.immobiliare.it/annunci/129779052/</x:v>
      </x:c>
      <x:c r="K86" s="9" t="n">
        <x:v>46270</x:v>
      </x:c>
      <x:c r="L86" s="3" t="str">
        <x:v>Scheda annuncio</x:v>
      </x:c>
      <x:c r="M86" s="3" t="str">
        <x:v>66.95</x:v>
      </x:c>
    </x:row>
    <x:row r="87" ht="60" customHeight="1">
      <x:c r="A87" s="3" t="n">
        <x:v>286</x:v>
      </x:c>
      <x:c r="B87" s="3" t="n">
        <x:v>129784724</x:v>
      </x:c>
      <x:c r="C87" s="3" t="str">
        <x:v>Immobiliare.it</x:v>
      </x:c>
      <x:c r="D87" s="3" t="str">
        <x:v>Bicocca</x:v>
      </x:c>
      <x:c r="E87" s="3" t="str">
        <x:v>piazza della Trivulziana 4</x:v>
      </x:c>
      <x:c r="F87" s="3" t="str">
        <x:v>https://www.immobiliare.it/annunci/129784724/</x:v>
      </x:c>
      <x:c r="G87" s="3" t="str">
        <x:v>Scheda annuncio</x:v>
      </x:c>
      <x:c r="H87" s="3" t="str">
        <x:v>Controllo duplicati per URL, indirizzo, prezzo e superficie rispetto al campione precedente.</x:v>
      </x:c>
      <x:c r="I87" s="3" t="str">
        <x:v>C</x:v>
      </x:c>
      <x:c r="J87" s="3" t="str">
        <x:v>https://www.immobiliare.it/annunci/129784724/</x:v>
      </x:c>
      <x:c r="K87" s="9" t="n">
        <x:v>46270</x:v>
      </x:c>
      <x:c r="L87" s="3" t="str">
        <x:v>Scheda annuncio</x:v>
      </x:c>
      <x:c r="M87" s="3" t="str">
        <x:v>57.7</x:v>
      </x:c>
    </x:row>
    <x:row r="88" ht="60" customHeight="1">
      <x:c r="A88" s="3" t="n">
        <x:v>287</x:v>
      </x:c>
      <x:c r="B88" s="3" t="n">
        <x:v>129951754</x:v>
      </x:c>
      <x:c r="C88" s="3" t="str">
        <x:v>Immobiliare.it</x:v>
      </x:c>
      <x:c r="D88" s="3" t="str">
        <x:v>Bicocca</x:v>
      </x:c>
      <x:c r="E88" s="3" t="str">
        <x:v>via Luigi Pulci 13</x:v>
      </x:c>
      <x:c r="F88" s="3" t="str">
        <x:v>https://www.immobiliare.it/annunci/129951754/</x:v>
      </x:c>
      <x:c r="G88" s="3" t="str">
        <x:v>Scheda annuncio</x:v>
      </x:c>
      <x:c r="H88" s="3" t="str">
        <x:v>Controllo duplicati per URL, indirizzo, prezzo e superficie rispetto al campione precedente.</x:v>
      </x:c>
      <x:c r="I88" s="3" t="str">
        <x:v>G</x:v>
      </x:c>
      <x:c r="J88" s="3" t="str">
        <x:v>https://www.immobiliare.it/annunci/129951754/</x:v>
      </x:c>
      <x:c r="K88" s="9" t="n">
        <x:v>46270</x:v>
      </x:c>
      <x:c r="L88" s="3" t="str">
        <x:v>Scheda annuncio</x:v>
      </x:c>
      <x:c r="M88" s="3" t="str">
        <x:v>199.96</x:v>
      </x:c>
    </x:row>
    <x:row r="89" ht="60" customHeight="1">
      <x:c r="A89" s="3" t="n">
        <x:v>288</x:v>
      </x:c>
      <x:c r="B89" s="3" t="n">
        <x:v>128991302</x:v>
      </x:c>
      <x:c r="C89" s="3" t="str">
        <x:v>Immobiliare.it</x:v>
      </x:c>
      <x:c r="D89" s="3" t="str">
        <x:v>Bicocca</x:v>
      </x:c>
      <x:c r="E89" s="3" t="str">
        <x:v>viale Fulvio Testi</x:v>
      </x:c>
      <x:c r="F89" s="3" t="str">
        <x:v>https://www.immobiliare.it/annunci/128991302/</x:v>
      </x:c>
      <x:c r="G89" s="3" t="str">
        <x:v>Scheda annuncio</x:v>
      </x:c>
      <x:c r="H89" s="3" t="str">
        <x:v>Controllo duplicati per URL, indirizzo, prezzo e superficie rispetto al campione precedente.</x:v>
      </x:c>
      <x:c r="I89" s="3" t="str">
        <x:v>F</x:v>
      </x:c>
      <x:c r="J89" s="3" t="str">
        <x:v>https://www.immobiliare.it/annunci/128991302/</x:v>
      </x:c>
      <x:c r="K89" s="9" t="n">
        <x:v>46270</x:v>
      </x:c>
      <x:c r="L89" s="3" t="str">
        <x:v>Scheda annuncio</x:v>
      </x:c>
      <x:c r="M89" s="3" t="str">
        <x:v>≥ 175</x:v>
      </x:c>
    </x:row>
    <x:row r="90" ht="60" customHeight="1">
      <x:c r="A90" s="3" t="n">
        <x:v>289</x:v>
      </x:c>
      <x:c r="B90" s="3" t="n">
        <x:v>129758280</x:v>
      </x:c>
      <x:c r="C90" s="3" t="str">
        <x:v>Immobiliare.it</x:v>
      </x:c>
      <x:c r="D90" s="3" t="str">
        <x:v>Bignami - Ponale</x:v>
      </x:c>
      <x:c r="E90" s="3" t="str">
        <x:v>viale dell'Innovazione 24</x:v>
      </x:c>
      <x:c r="F90" s="3" t="str">
        <x:v>https://www.immobiliare.it/annunci/129758280/</x:v>
      </x:c>
      <x:c r="G90" s="3" t="str">
        <x:v>Scheda annuncio</x:v>
      </x:c>
      <x:c r="H90" s="3" t="str">
        <x:v>Controllo duplicati per URL, indirizzo, prezzo e superficie rispetto al campione precedente.</x:v>
      </x:c>
      <x:c r="I90" s="3" t="str">
        <x:v>E</x:v>
      </x:c>
      <x:c r="J90" s="3" t="str">
        <x:v>https://www.immobiliare.it/annunci/129758280/</x:v>
      </x:c>
      <x:c r="K90" s="9" t="n">
        <x:v>46270</x:v>
      </x:c>
      <x:c r="L90" s="3" t="str">
        <x:v>Scheda annuncio</x:v>
      </x:c>
      <x:c r="M90" s="3" t="str">
        <x:v>≥ 3,51</x:v>
      </x:c>
    </x:row>
    <x:row r="91" ht="60" customHeight="1">
      <x:c r="A91" s="3" t="n">
        <x:v>290</x:v>
      </x:c>
      <x:c r="B91" s="3" t="n">
        <x:v>132050382</x:v>
      </x:c>
      <x:c r="C91" s="3" t="str">
        <x:v>Immobiliare.it</x:v>
      </x:c>
      <x:c r="D91" s="3" t="str">
        <x:v>Cadore</x:v>
      </x:c>
      <x:c r="E91" s="3" t="str">
        <x:v>piazzale Libia 19</x:v>
      </x:c>
      <x:c r="F91" s="3" t="str">
        <x:v>https://www.immobiliare.it/annunci/132050382/</x:v>
      </x:c>
      <x:c r="G91" s="3" t="str">
        <x:v>Scheda annuncio</x:v>
      </x:c>
      <x:c r="H91" s="3" t="str">
        <x:v>Controllo duplicati per URL, indirizzo, prezzo e superficie rispetto al campione precedente.</x:v>
      </x:c>
      <x:c r="I91" s="3" t="str">
        <x:v>G</x:v>
      </x:c>
      <x:c r="J91" s="3" t="str">
        <x:v>https://www.immobiliare.it/annunci/132050382/</x:v>
      </x:c>
      <x:c r="K91" s="9" t="n">
        <x:v>46270</x:v>
      </x:c>
      <x:c r="L91" s="3" t="str">
        <x:v>Scheda annuncio</x:v>
      </x:c>
      <x:c r="M91" s="3" t="str">
        <x:v>242</x:v>
      </x:c>
    </x:row>
    <x:row r="92" ht="60" customHeight="1">
      <x:c r="A92" s="3" t="n">
        <x:v>291</x:v>
      </x:c>
      <x:c r="B92" s="3" t="n">
        <x:v>131297434</x:v>
      </x:c>
      <x:c r="C92" s="3" t="str">
        <x:v>Immobiliare.it</x:v>
      </x:c>
      <x:c r="D92" s="3" t="str">
        <x:v>Cadore</x:v>
      </x:c>
      <x:c r="E92" s="3" t="str">
        <x:v>piazzale Libia 9</x:v>
      </x:c>
      <x:c r="F92" s="3" t="str">
        <x:v>https://www.immobiliare.it/annunci/131297434/</x:v>
      </x:c>
      <x:c r="G92" s="3" t="str">
        <x:v>Scheda annuncio</x:v>
      </x:c>
      <x:c r="H92" s="3" t="str">
        <x:v>Controllo duplicati per URL, indirizzo, prezzo e superficie rispetto al campione precedente.</x:v>
      </x:c>
      <x:c r="I92" s="3" t="str">
        <x:v>F</x:v>
      </x:c>
      <x:c r="J92" s="3" t="str">
        <x:v>https://www.immobiliare.it/annunci/131297434/</x:v>
      </x:c>
      <x:c r="K92" s="9" t="n">
        <x:v>46270</x:v>
      </x:c>
      <x:c r="L92" s="3" t="str">
        <x:v>Scheda annuncio</x:v>
      </x:c>
      <x:c r="M92" s="3" t="str">
        <x:v>180.9</x:v>
      </x:c>
    </x:row>
    <x:row r="93" ht="60" customHeight="1">
      <x:c r="A93" s="3" t="n">
        <x:v>292</x:v>
      </x:c>
      <x:c r="B93" s="3" t="n">
        <x:v>132156572</x:v>
      </x:c>
      <x:c r="C93" s="3" t="str">
        <x:v>Immobiliare.it</x:v>
      </x:c>
      <x:c r="D93" s="3" t="str">
        <x:v>Cadore</x:v>
      </x:c>
      <x:c r="E93" s="3" t="str">
        <x:v>via Rezia</x:v>
      </x:c>
      <x:c r="F93" s="3" t="str">
        <x:v>https://www.immobiliare.it/annunci/132156572/</x:v>
      </x:c>
      <x:c r="G93" s="3" t="str">
        <x:v>Scheda annuncio</x:v>
      </x:c>
      <x:c r="H93" s="3" t="str">
        <x:v>Controllo duplicati per URL, indirizzo, prezzo e superficie rispetto al campione precedente.</x:v>
      </x:c>
      <x:c r="I93" s="3" t="str">
        <x:v>D</x:v>
      </x:c>
      <x:c r="J93" s="3" t="str">
        <x:v>https://www.immobiliare.it/annunci/132156572/</x:v>
      </x:c>
      <x:c r="K93" s="9" t="n">
        <x:v>46270</x:v>
      </x:c>
      <x:c r="L93" s="3" t="str">
        <x:v>Scheda annuncio</x:v>
      </x:c>
      <x:c r="M93" s="3" t="str">
        <x:v>≥ 3,51</x:v>
      </x:c>
    </x:row>
    <x:row r="94" ht="60" customHeight="1">
      <x:c r="A94" s="3" t="n">
        <x:v>293</x:v>
      </x:c>
      <x:c r="B94" s="3" t="n">
        <x:v>131853884</x:v>
      </x:c>
      <x:c r="C94" s="3" t="str">
        <x:v>Immobiliare.it</x:v>
      </x:c>
      <x:c r="D94" s="3" t="str">
        <x:v>Farini</x:v>
      </x:c>
      <x:c r="E94" s="3" t="str">
        <x:v>via Carlo Farini 55</x:v>
      </x:c>
      <x:c r="F94" s="3" t="str">
        <x:v>https://www.immobiliare.it/annunci/131853884/</x:v>
      </x:c>
      <x:c r="G94" s="3" t="str">
        <x:v>Scheda annuncio</x:v>
      </x:c>
      <x:c r="H94" s="3" t="str">
        <x:v>Controllo duplicati per URL, indirizzo, prezzo e superficie rispetto al campione precedente.</x:v>
      </x:c>
      <x:c r="I94" s="3" t="str">
        <x:v>F</x:v>
      </x:c>
      <x:c r="J94" s="3" t="str">
        <x:v>https://www.immobiliare.it/annunci/131853884/</x:v>
      </x:c>
      <x:c r="K94" s="9" t="n">
        <x:v>46270</x:v>
      </x:c>
      <x:c r="L94" s="3" t="str">
        <x:v>Scheda annuncio</x:v>
      </x:c>
      <x:c r="M94" s="3" t="str">
        <x:v>137</x:v>
      </x:c>
    </x:row>
    <x:row r="95" ht="60" customHeight="1">
      <x:c r="A95" s="3" t="n">
        <x:v>294</x:v>
      </x:c>
      <x:c r="B95" s="3" t="n">
        <x:v>132011530</x:v>
      </x:c>
      <x:c r="C95" s="3" t="str">
        <x:v>Immobiliare.it</x:v>
      </x:c>
      <x:c r="D95" s="3" t="str">
        <x:v>Greco - Segnano</x:v>
      </x:c>
      <x:c r="E95" s="3" t="str">
        <x:v>viale Sarca 98</x:v>
      </x:c>
      <x:c r="F95" s="3" t="str">
        <x:v>https://www.immobiliare.it/annunci/132011530/</x:v>
      </x:c>
      <x:c r="G95" s="3" t="str">
        <x:v>Scheda annuncio</x:v>
      </x:c>
      <x:c r="H95" s="3" t="str">
        <x:v>Controllo duplicati per URL, indirizzo, prezzo e superficie rispetto al campione precedente.</x:v>
      </x:c>
      <x:c r="I95" s="3" t="str">
        <x:v>F</x:v>
      </x:c>
      <x:c r="J95" s="3" t="str">
        <x:v>https://www.immobiliare.it/annunci/132011530/</x:v>
      </x:c>
      <x:c r="K95" s="9" t="n">
        <x:v>46270</x:v>
      </x:c>
      <x:c r="L95" s="3" t="str">
        <x:v>Scheda annuncio</x:v>
      </x:c>
      <x:c r="M95" s="3" t="str">
        <x:v>192.19</x:v>
      </x:c>
    </x:row>
    <x:row r="96" ht="60" customHeight="1">
      <x:c r="A96" s="3" t="n">
        <x:v>295</x:v>
      </x:c>
      <x:c r="B96" s="3" t="n">
        <x:v>130488410</x:v>
      </x:c>
      <x:c r="C96" s="3" t="str">
        <x:v>Immobiliare.it</x:v>
      </x:c>
      <x:c r="D96" s="3" t="str">
        <x:v>Montenero</x:v>
      </x:c>
      <x:c r="E96" s="3" t="str">
        <x:v>via Andrea Maffei</x:v>
      </x:c>
      <x:c r="F96" s="3" t="str">
        <x:v>https://www.immobiliare.it/annunci/130488410/</x:v>
      </x:c>
      <x:c r="G96" s="3" t="str">
        <x:v>Scheda annuncio</x:v>
      </x:c>
      <x:c r="H96" s="3" t="str">
        <x:v>Controllo duplicati per URL, indirizzo, prezzo e superficie rispetto al campione precedente.</x:v>
      </x:c>
      <x:c r="I96" s="3" t="str">
        <x:v>E</x:v>
      </x:c>
      <x:c r="J96" s="3" t="str">
        <x:v>https://www.immobiliare.it/annunci/130488410/</x:v>
      </x:c>
      <x:c r="K96" s="9" t="n">
        <x:v>46270</x:v>
      </x:c>
      <x:c r="L96" s="3" t="str">
        <x:v>Scheda annuncio</x:v>
      </x:c>
      <x:c r="M96" s="3" t="str">
        <x:v>226.07</x:v>
      </x:c>
    </x:row>
    <x:row r="97" ht="60" customHeight="1">
      <x:c r="A97" s="3" t="n">
        <x:v>296</x:v>
      </x:c>
      <x:c r="B97" s="3" t="n">
        <x:v>132057326</x:v>
      </x:c>
      <x:c r="C97" s="3" t="str">
        <x:v>Immobiliare.it</x:v>
      </x:c>
      <x:c r="D97" s="3" t="str">
        <x:v>Montenero</x:v>
      </x:c>
      <x:c r="E97" s="3" t="str">
        <x:v>via Spartaco 11</x:v>
      </x:c>
      <x:c r="F97" s="3" t="str">
        <x:v>https://www.immobiliare.it/annunci/132057326/</x:v>
      </x:c>
      <x:c r="G97" s="3" t="str">
        <x:v>Scheda annuncio</x:v>
      </x:c>
      <x:c r="H97" s="3" t="str">
        <x:v>Controllo duplicati per URL, indirizzo, prezzo e superficie rispetto al campione precedente.</x:v>
      </x:c>
      <x:c r="I97" s="3" t="str">
        <x:v>F</x:v>
      </x:c>
      <x:c r="J97" s="3" t="str">
        <x:v>https://www.immobiliare.it/annunci/132057326/</x:v>
      </x:c>
      <x:c r="K97" s="9" t="n">
        <x:v>46270</x:v>
      </x:c>
      <x:c r="L97" s="3" t="str">
        <x:v>Scheda annuncio</x:v>
      </x:c>
      <x:c r="M97" s="3" t="str">
        <x:v>147.91</x:v>
      </x:c>
    </x:row>
    <x:row r="98" ht="60" customHeight="1">
      <x:c r="A98" s="3" t="n">
        <x:v>297</x:v>
      </x:c>
      <x:c r="B98" s="3" t="n">
        <x:v>131158260</x:v>
      </x:c>
      <x:c r="C98" s="3" t="str">
        <x:v>Immobiliare.it</x:v>
      </x:c>
      <x:c r="D98" s="3" t="str">
        <x:v>Prato Centenaro</x:v>
      </x:c>
      <x:c r="E98" s="3" t="str">
        <x:v>via Luigi Mainoni d'Intignano 18</x:v>
      </x:c>
      <x:c r="F98" s="3" t="str">
        <x:v>https://www.immobiliare.it/annunci/131158260/</x:v>
      </x:c>
      <x:c r="G98" s="3" t="str">
        <x:v>Scheda annuncio</x:v>
      </x:c>
      <x:c r="H98" s="3" t="str">
        <x:v>Controllo duplicati per URL, indirizzo, prezzo e superficie rispetto al campione precedente.</x:v>
      </x:c>
      <x:c r="I98" s="3" t="str">
        <x:v>D</x:v>
      </x:c>
      <x:c r="J98" s="3" t="str">
        <x:v>https://www.immobiliare.it/annunci/131158260/</x:v>
      </x:c>
      <x:c r="K98" s="9" t="n">
        <x:v>46270</x:v>
      </x:c>
      <x:c r="L98" s="3" t="str">
        <x:v>Scheda annuncio</x:v>
      </x:c>
      <x:c r="M98" s="3" t="str">
        <x:v>≥ 175</x:v>
      </x:c>
    </x:row>
    <x:row r="99" ht="60" customHeight="1">
      <x:c r="A99" s="3" t="n">
        <x:v>298</x:v>
      </x:c>
      <x:c r="B99" s="3" t="n">
        <x:v>128671456</x:v>
      </x:c>
      <x:c r="C99" s="3" t="str">
        <x:v>Immobiliare.it</x:v>
      </x:c>
      <x:c r="D99" s="3" t="str">
        <x:v>Prato Centenaro</x:v>
      </x:c>
      <x:c r="E99" s="3" t="str">
        <x:v>via Santa Monica 3</x:v>
      </x:c>
      <x:c r="F99" s="3" t="str">
        <x:v>https://www.immobiliare.it/annunci/128671456/</x:v>
      </x:c>
      <x:c r="G99" s="3" t="str">
        <x:v>Scheda annuncio</x:v>
      </x:c>
      <x:c r="H99" s="3" t="str">
        <x:v>Controllo duplicati per URL, indirizzo, prezzo e superficie rispetto al campione precedente.</x:v>
      </x:c>
      <x:c r="I99" s="3" t="str">
        <x:v>E</x:v>
      </x:c>
      <x:c r="J99" s="3" t="str">
        <x:v>https://www.immobiliare.it/annunci/128671456/</x:v>
      </x:c>
      <x:c r="K99" s="9" t="n">
        <x:v>46270</x:v>
      </x:c>
      <x:c r="L99" s="3" t="str">
        <x:v>Scheda annuncio</x:v>
      </x:c>
      <x:c r="M99" s="3" t="str">
        <x:v>235.7</x:v>
      </x:c>
    </x:row>
    <x:row r="100" ht="60" customHeight="1">
      <x:c r="A100" s="3" t="n">
        <x:v>299</x:v>
      </x:c>
      <x:c r="B100" s="3" t="n">
        <x:v>129040008</x:v>
      </x:c>
      <x:c r="C100" s="3" t="str">
        <x:v>Immobiliare.it</x:v>
      </x:c>
      <x:c r="D100" s="3" t="str">
        <x:v>Quartiere Forlanini</x:v>
      </x:c>
      <x:c r="E100" s="3" t="str">
        <x:v>piazza Ovidio</x:v>
      </x:c>
      <x:c r="F100" s="3" t="str">
        <x:v>https://www.immobiliare.it/annunci/129040008/</x:v>
      </x:c>
      <x:c r="G100" s="3" t="str">
        <x:v>Scheda annuncio</x:v>
      </x:c>
      <x:c r="H100" s="3" t="str">
        <x:v>Controllo duplicati per URL, indirizzo, prezzo e superficie rispetto al campione precedente.</x:v>
      </x:c>
      <x:c r="I100" s="3" t="str">
        <x:v>G</x:v>
      </x:c>
      <x:c r="J100" s="3" t="str">
        <x:v>https://www.immobiliare.it/annunci/129040008/</x:v>
      </x:c>
      <x:c r="K100" s="9" t="n">
        <x:v>46270</x:v>
      </x:c>
      <x:c r="L100" s="3" t="str">
        <x:v>Scheda annuncio</x:v>
      </x:c>
      <x:c r="M100" s="3" t="str">
        <x:v>≥ 175</x:v>
      </x:c>
    </x:row>
    <x:row r="101" ht="60" customHeight="1">
      <x:c r="A101" s="3" t="n">
        <x:v>300</x:v>
      </x:c>
      <x:c r="B101" s="3" t="n">
        <x:v>130450826</x:v>
      </x:c>
      <x:c r="C101" s="3" t="str">
        <x:v>Immobiliare.it</x:v>
      </x:c>
      <x:c r="D101" s="3" t="str">
        <x:v>Turati</x:v>
      </x:c>
      <x:c r="E101" s="3" t="str">
        <x:v>via Goito 5</x:v>
      </x:c>
      <x:c r="F101" s="3" t="str">
        <x:v>https://www.immobiliare.it/annunci/130450826/</x:v>
      </x:c>
      <x:c r="G101" s="3" t="str">
        <x:v>Scheda annuncio</x:v>
      </x:c>
      <x:c r="H101" s="3" t="str">
        <x:v>Controllo duplicati per URL, indirizzo, prezzo e superficie rispetto al campione precedente.</x:v>
      </x:c>
      <x:c r="I101" s="3" t="str">
        <x:v>G</x:v>
      </x:c>
      <x:c r="J101" s="3" t="str">
        <x:v>https://www.immobiliare.it/annunci/130450826/</x:v>
      </x:c>
      <x:c r="K101" s="9" t="n">
        <x:v>46270</x:v>
      </x:c>
      <x:c r="L101" s="3" t="str">
        <x:v>Scheda annuncio</x:v>
      </x:c>
      <x:c r="M101" s="3" t="str">
        <x:v>175</x:v>
      </x:c>
    </x:row>
  </x:sheetData>
  <x:pageMargins left="0.7" right="0.7" top="0.75" bottom="0.75" header="0.3" footer="0.3"/>
  <x:tableParts count="1">
    <x:tablePart xmlns:r="http://schemas.openxmlformats.org/officeDocument/2006/relationships" r:id="R6f5d7dd020ba4b9a"/>
  </x:tableParts>
</x:worksheet>
</file>